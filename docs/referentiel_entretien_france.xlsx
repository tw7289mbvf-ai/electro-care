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Questionnaire!$A$5:$M$89</definedName>
    <definedName function="false" hidden="true" localSheetId="5" name="_xlnm._FilterDatabase" vbProcedure="false">'Questions de date'!$A$5:$G$41</definedName>
    <definedName function="false" hidden="true" localSheetId="3" name="_xlnm._FilterDatabase" vbProcedure="false">Taches!$A$5:$Q$159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<sst xmlns="http://schemas.openxmlformats.org/spreadsheetml/2006/main" count="5794" uniqueCount="2441">
  <si>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</si>
  <si>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</si>
  <si>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</si>
  <si>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</si>
  <si>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</si>
  <si>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</si>
  <si>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</si>
  <si>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</si>
  <si>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</si>
  <si>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</si>
  <si>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</si>
  <si>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</si>
  <si>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</si>
  <si>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</si>
  <si>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</si>
  <si>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</si>
  <si>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</si>
  <si>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</si>
  <si>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</si>
  <si>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</si>
  <si>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</si>
  <si>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</si>
  <si>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</si>
  <si>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</si>
  <si>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</si>
  <si>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</si>
  <si>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</si>
  <si>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</si>
  <si>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</si>
  <si>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</si>
  <si>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</si>
  <si>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</si>
  <si>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</si>
  <si>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</si>
  <si>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</si>
  <si>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</si>
  <si>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</si>
  <si>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</si>
  <si>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</si>
  <si>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</si>
  <si>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</si>
  <si>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</si>
  <si>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</si>
  <si>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</si>
  <si>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</si>
  <si>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</si>
  <si>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</si>
  <si>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</si>
  <si>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</si>
  <si>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</si>
  <si>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</si>
  <si>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</si>
  <si>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</si>
  <si>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</si>
  <si>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</si>
  <si>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</si>
  <si>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</si>
  <si>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</si>
  <si>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</si>
  <si>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</si>
  <si>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</si>
  <si>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</si>
  <si>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</si>
  <si>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</si>
  <si>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</si>
  <si>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</si>
  <si>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</si>
  <si>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</si>
  <si>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</si>
  <si>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</si>
  <si>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</si>
  <si>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</si>
  <si>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</si>
  <si>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</si>
  <si>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</si>
  <si>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</si>
  <si>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</si>
  <si>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</si>
  <si>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</si>
  <si>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</si>
  <si>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</si>
  <si>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</si>
  <si>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</si>
  <si>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</si>
  <si>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</si>
  <si>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</si>
  <si>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</si>
  <si>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</si>
  <si>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</si>
  <si>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</si>
  <si>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</si>
  <si>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</si>
  <si>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</si>
  <si>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</si>
  <si>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</si>
  <si>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Chaudière gaz individuelle (4-400 kW)</t>
  </si>
  <si>
    <t xml:space="preserve">15-20 ans</t>
  </si>
  <si>
    <t xml:space="preserve">Oui</t>
  </si>
  <si>
    <t xml:space="preserve">Décret 2009-649 + arrêté 15/09/2009 (C. env. R224-41-4 s.)</t>
  </si>
  <si>
    <t xml:space="preserve">Annuel</t>
  </si>
  <si>
    <t xml:space="preserve">Pro qualifié (PG)</t>
  </si>
  <si>
    <t xml:space="preserve">Attestation d'entretien (remise sous 15 j)</t>
  </si>
  <si>
    <t xml:space="preserve">100-180 EUR</t>
  </si>
  <si>
    <t xml:space="preserve">Intoxication au CO, refus de prise en charge assurance, surconsommation 10-15%</t>
  </si>
  <si>
    <t xml:space="preserve">Plaque signalétique</t>
  </si>
  <si>
    <t xml:space="preserve">Sous l'appareil ou derrière le capot avant ; parfois sur le flanc</t>
  </si>
  <si>
    <t xml:space="preserve">Marque, modèle, n. de série, puissance nominale (kW), type de gaz, année</t>
  </si>
  <si>
    <t xml:space="preserve">Ne jamais déposer le capot d'un appareil gaz. Alternative : attestation d'entretien ou facture de l'installateur</t>
  </si>
  <si>
    <t xml:space="preserve">CH-02</t>
  </si>
  <si>
    <t xml:space="preserve">Chaudière fioul</t>
  </si>
  <si>
    <t xml:space="preserve">20-25 ans</t>
  </si>
  <si>
    <t xml:space="preserve">Décret 2009-649 + arrêté 15/09/2009</t>
  </si>
  <si>
    <t xml:space="preserve">Pro qualifié</t>
  </si>
  <si>
    <t xml:space="preserve">Attestation d'entretien</t>
  </si>
  <si>
    <t xml:space="preserve">130-220 EUR</t>
  </si>
  <si>
    <t xml:space="preserve">Encrassement du brûleur, pannes hivernales, refus assurance</t>
  </si>
  <si>
    <t xml:space="preserve">Flanc ou porte de façade de la chaudière ; plaque distincte sur le brûleur</t>
  </si>
  <si>
    <t xml:space="preserve">Marque, modèle, n. de série, puissance (kW) ; modèle du brûleur</t>
  </si>
  <si>
    <t xml:space="preserve">Deux plaques à photographier : chaudière et brûleur</t>
  </si>
  <si>
    <t xml:space="preserve">CH-03</t>
  </si>
  <si>
    <t xml:space="preserve">Chaudière bois / granules</t>
  </si>
  <si>
    <t xml:space="preserve">Décret 2009-649 ; décret 2023-641 (entretien + ramonage)</t>
  </si>
  <si>
    <t xml:space="preserve">Attestation d'entretien + certificat de ramonage</t>
  </si>
  <si>
    <t xml:space="preserve">150-280 EUR</t>
  </si>
  <si>
    <t xml:space="preserve">Feu de conduit, émissions de particules, perte de rendement</t>
  </si>
  <si>
    <t xml:space="preserve">Flanc ou arrière de l'appareil, parfois sous le capot du silo</t>
  </si>
  <si>
    <t xml:space="preserve">Marque, modèle, n. de série, puissance (kW), combustible</t>
  </si>
  <si>
    <t xml:space="preserve">Alternative : attestation d'entretien</t>
  </si>
  <si>
    <t xml:space="preserve">CH-04</t>
  </si>
  <si>
    <t xml:space="preserve">Poêle à granules</t>
  </si>
  <si>
    <t xml:space="preserve">Décret 2023-641 (entretien 12 mois) + ramonage</t>
  </si>
  <si>
    <t xml:space="preserve">120-200 EUR</t>
  </si>
  <si>
    <t xml:space="preserve">Encrassement du creuset, arrêt en pleine saison, feu de conduit</t>
  </si>
  <si>
    <t xml:space="preserve">Au dos de l'appareil ; parfois sous le couvercle du réservoir à granules</t>
  </si>
  <si>
    <t xml:space="preserve">Marque, modèle, n. de série, puissance (kW), norme EN 14785</t>
  </si>
  <si>
    <t xml:space="preserve">Ne pas déplacer un poêle raccordé : utiliser la notice ou la facture</t>
  </si>
  <si>
    <t xml:space="preserve">CH-05</t>
  </si>
  <si>
    <t xml:space="preserve">Poêle à bois / insert / foyer fermé</t>
  </si>
  <si>
    <t xml:space="preserve">20-30 ans</t>
  </si>
  <si>
    <t xml:space="preserve">Décret 2023-641</t>
  </si>
  <si>
    <t xml:space="preserve">80-150 EUR</t>
  </si>
  <si>
    <t xml:space="preserve">Feu de cheminée, intoxication au CO</t>
  </si>
  <si>
    <t xml:space="preserve">Au dos ou sous l'appareil ; pour un insert, plaque souvent fixée dans l'habillage</t>
  </si>
  <si>
    <t xml:space="preserve">Marque, modèle, puissance (kW), norme EN 13240 ou EN 13229</t>
  </si>
  <si>
    <t xml:space="preserve">Insert encastré : plaque souvent inaccessible, utiliser la notice ou la facture</t>
  </si>
  <si>
    <t xml:space="preserve">CH-06</t>
  </si>
  <si>
    <t xml:space="preserve">Cheminée à foyer ouvert</t>
  </si>
  <si>
    <t xml:space="preserve">30 ans et +</t>
  </si>
  <si>
    <t xml:space="preserve">Décret 2023-641 : exempte d'entretien, ramonage obligatoire</t>
  </si>
  <si>
    <t xml:space="preserve">Ramonage annuel min.</t>
  </si>
  <si>
    <t xml:space="preserve">Certificat de ramonage</t>
  </si>
  <si>
    <t xml:space="preserve">60-120 EUR</t>
  </si>
  <si>
    <t xml:space="preserve">Feu de conduit, propagation à la charpente</t>
  </si>
  <si>
    <t xml:space="preserve">Pas de plaque</t>
  </si>
  <si>
    <t xml:space="preserve">-</t>
  </si>
  <si>
    <t xml:space="preserve">Photographier le dernier certificat de ramonage</t>
  </si>
  <si>
    <t xml:space="preserve">CH-07</t>
  </si>
  <si>
    <t xml:space="preserve">Conduit de fumée</t>
  </si>
  <si>
    <t xml:space="preserve">30-50 ans</t>
  </si>
  <si>
    <t xml:space="preserve">Décret 2023-641 du 20/07/2023 (en vigueur 01/10/2023)</t>
  </si>
  <si>
    <t xml:space="preserve">1/an min. ; 2/an si &gt; 6 m3 de bois ou &gt; 2,5 t de granules par an</t>
  </si>
  <si>
    <t xml:space="preserve">Pro qualifié (ramonage mécanique)</t>
  </si>
  <si>
    <t xml:space="preserve">Certificat de ramonage (conserver 5 ans)</t>
  </si>
  <si>
    <t xml:space="preserve">Amende 3e classe jusqu'à 450 EUR, refus assurance après sinistre</t>
  </si>
  <si>
    <t xml:space="preserve">Conduits récents : plaque du conduit près du raccordement ou dans les combles</t>
  </si>
  <si>
    <t xml:space="preserve">Classe du conduit (température, résistance au feu), diamètre</t>
  </si>
  <si>
    <t xml:space="preserve">À défaut : certificat de ramonage</t>
  </si>
  <si>
    <t xml:space="preserve">CH-08</t>
  </si>
  <si>
    <t xml:space="preserve">Pompe à chaleur air/eau (4-70 kW)</t>
  </si>
  <si>
    <t xml:space="preserve">Décret 2020-912 + arrêté 24/07/2020</t>
  </si>
  <si>
    <t xml:space="preserve">Tous les 2 ans</t>
  </si>
  <si>
    <t xml:space="preserve">150-250 EUR</t>
  </si>
  <si>
    <t xml:space="preserve">Perte de COP, fuite de fluide frigorigene, casse compresseur</t>
  </si>
  <si>
    <t xml:space="preserve">Unité extérieure : flanc ou dos. Module intérieur : sous le capot avant ou sur le côté</t>
  </si>
  <si>
    <t xml:space="preserve">Modèle, n. de série, puissance (kW), type de fluide (R32, R410A...), charge en kg et en t eq. CO2, mention hermétiquement scellé</t>
  </si>
  <si>
    <t xml:space="preserve">Fluide + charge + mention scellé déterminent le contrôle d'étanchéité : c'est ici que la photo calcule le statut légal</t>
  </si>
  <si>
    <t xml:space="preserve">CH-09</t>
  </si>
  <si>
    <t xml:space="preserve">Pompe à chaleur air/air réversible</t>
  </si>
  <si>
    <t xml:space="preserve">12-15 ans</t>
  </si>
  <si>
    <t xml:space="preserve">Oui si &gt;= 4 kW</t>
  </si>
  <si>
    <t xml:space="preserve">Décret 2020-912 (des 4 kW)</t>
  </si>
  <si>
    <t xml:space="preserve">Qualité d'air dégradée, surconsommation, fuite de fluide</t>
  </si>
  <si>
    <t xml:space="preserve">Unité extérieure : flanc ou dos. Unité intérieure : sous le capot frontal ou sur le côté</t>
  </si>
  <si>
    <t xml:space="preserve">CH-10</t>
  </si>
  <si>
    <t xml:space="preserve">PAC geothermique</t>
  </si>
  <si>
    <t xml:space="preserve">Décret 2020-912</t>
  </si>
  <si>
    <t xml:space="preserve">200-350 EUR</t>
  </si>
  <si>
    <t xml:space="preserve">Déperdition du champ de captage, casse compresseur</t>
  </si>
  <si>
    <t xml:space="preserve">Flanc ou derrière le capot avant du module intérieur</t>
  </si>
  <si>
    <t xml:space="preserve">CH-11</t>
  </si>
  <si>
    <t xml:space="preserve">Radiateurs à eau chaude</t>
  </si>
  <si>
    <t xml:space="preserve">25-40 ans</t>
  </si>
  <si>
    <t xml:space="preserve">Non</t>
  </si>
  <si>
    <t xml:space="preserve">Purge annuelle recommandée</t>
  </si>
  <si>
    <t xml:space="preserve">Particulier</t>
  </si>
  <si>
    <t xml:space="preserve">0 EUR</t>
  </si>
  <si>
    <t xml:space="preserve">Radiateurs froids en haut, surconsommation, bruits de circuit</t>
  </si>
  <si>
    <t xml:space="preserve">Pas de plaque exploitable</t>
  </si>
  <si>
    <t xml:space="preserve">Pas d'identification nécessaire</t>
  </si>
  <si>
    <t xml:space="preserve">CH-12</t>
  </si>
  <si>
    <t xml:space="preserve">Circuit de chauffage (desembouage)</t>
  </si>
  <si>
    <t xml:space="preserve">Tous les 8-10 ans recommandé</t>
  </si>
  <si>
    <t xml:space="preserve">Pro</t>
  </si>
  <si>
    <t xml:space="preserve">Facture / rapport</t>
  </si>
  <si>
    <t xml:space="preserve">600-1200 EUR</t>
  </si>
  <si>
    <t xml:space="preserve">Boues = perte de rendement jusqu'à 15%, casse du circulateur</t>
  </si>
  <si>
    <t xml:space="preserve">Photographier la facture du dernier desembouage</t>
  </si>
  <si>
    <t xml:space="preserve">CH-13</t>
  </si>
  <si>
    <t xml:space="preserve">Plancher chauffant hydraulique</t>
  </si>
  <si>
    <t xml:space="preserve">40-50 ans</t>
  </si>
  <si>
    <t xml:space="preserve">Contrôle collecteur annuel ; desembouage 10 ans</t>
  </si>
  <si>
    <t xml:space="preserve">Particulier + Pro</t>
  </si>
  <si>
    <t xml:space="preserve">Zones froides, colmatage des boucles</t>
  </si>
  <si>
    <t xml:space="preserve">Étiquette sur le collecteur (pas systématique)</t>
  </si>
  <si>
    <t xml:space="preserve">Fabricant du collecteur, nombre de boucles</t>
  </si>
  <si>
    <t xml:space="preserve">Plan de pose si disponible</t>
  </si>
  <si>
    <t xml:space="preserve">CH-14</t>
  </si>
  <si>
    <t xml:space="preserve">Radiateur électrique / convecteur</t>
  </si>
  <si>
    <t xml:space="preserve">Dépoussiérage annuel</t>
  </si>
  <si>
    <t xml:space="preserve">Surconsommation, odeurs de brûlé, risque incendie sur poussière</t>
  </si>
  <si>
    <t xml:space="preserve">Au dos ou sur le flanc de l'appareil</t>
  </si>
  <si>
    <t xml:space="preserve">Marque, modèle, puissance (W)</t>
  </si>
  <si>
    <t xml:space="preserve">CH-15</t>
  </si>
  <si>
    <t xml:space="preserve">Cuve à fioul</t>
  </si>
  <si>
    <t xml:space="preserve">25-30 ans</t>
  </si>
  <si>
    <t xml:space="preserve">Selon cas</t>
  </si>
  <si>
    <t xml:space="preserve">Arrêté du 01/07/2004 (stockage produits pétroliers)</t>
  </si>
  <si>
    <t xml:space="preserve">Contrôle d'étanchéité et nettoyage tous les 5-10 ans</t>
  </si>
  <si>
    <t xml:space="preserve">Rapport de contrôle</t>
  </si>
  <si>
    <t xml:space="preserve">300-600 EUR</t>
  </si>
  <si>
    <t xml:space="preserve">Pollution des sols, depollution à la charge du propriétaire</t>
  </si>
  <si>
    <t xml:space="preserve">Sur le trou d'homme ou le flanc de la cuve</t>
  </si>
  <si>
    <t xml:space="preserve">Fabricant, capacité (L), année, simple ou double paroi</t>
  </si>
  <si>
    <t xml:space="preserve">CH-16</t>
  </si>
  <si>
    <t xml:space="preserve">Citerne GPL / propane</t>
  </si>
  <si>
    <t xml:space="preserve">Oui (via contrat)</t>
  </si>
  <si>
    <t xml:space="preserve">Arrêté du 30/07/1979 modifié</t>
  </si>
  <si>
    <t xml:space="preserve">Contrôle périodique par le distributeur (voir contrat)</t>
  </si>
  <si>
    <t xml:space="preserve">Distributeur agréé</t>
  </si>
  <si>
    <t xml:space="preserve">Rapport du distributeur</t>
  </si>
  <si>
    <t xml:space="preserve">Inclus au contrat</t>
  </si>
  <si>
    <t xml:space="preserve">Risque d'explosion, résiliation du contrat de fourniture</t>
  </si>
  <si>
    <t xml:space="preserve">Sur la citerne, près du capot</t>
  </si>
  <si>
    <t xml:space="preserve">N. de citerne, capacité, distributeur, date d'épreuve</t>
  </si>
  <si>
    <t xml:space="preserve">Contrat du distributeur</t>
  </si>
  <si>
    <t xml:space="preserve">CH-17</t>
  </si>
  <si>
    <t xml:space="preserve">Thermostat / régulation connectée</t>
  </si>
  <si>
    <t xml:space="preserve">10-15 ans</t>
  </si>
  <si>
    <t xml:space="preserve">Piles annuelles, mise à jour firmware</t>
  </si>
  <si>
    <t xml:space="preserve">Dérive de température, surconsommation</t>
  </si>
  <si>
    <t xml:space="preserve">Au dos, en le declipsant de son socle</t>
  </si>
  <si>
    <t xml:space="preserve">Marque, modèle, référence</t>
  </si>
  <si>
    <t xml:space="preserve">Application connectée si disponible</t>
  </si>
  <si>
    <t xml:space="preserve">ECS-01</t>
  </si>
  <si>
    <t xml:space="preserve">Eau chaude</t>
  </si>
  <si>
    <t xml:space="preserve">Chauffe-eau électrique (cumulus)</t>
  </si>
  <si>
    <t xml:space="preserve">Groupe de sécurité mensuel ; détartrage + anode tous les 2 ans</t>
  </si>
  <si>
    <t xml:space="preserve">Facture de détartrage</t>
  </si>
  <si>
    <t xml:space="preserve">Tartre = +30% de conso ; anode usée = percement de la cuve</t>
  </si>
  <si>
    <t xml:space="preserve">Sur l'enveloppe du ballon, souvent près du capot électrique en partie basse</t>
  </si>
  <si>
    <t xml:space="preserve">Marque, modèle, capacité (L), puissance (W), n. de série, date de fabrication</t>
  </si>
  <si>
    <t xml:space="preserve">ECS-02</t>
  </si>
  <si>
    <t xml:space="preserve">Chauffe-eau thermodynamique</t>
  </si>
  <si>
    <t xml:space="preserve">Encrassement de l'evaporateur, bascule permanente sur résistance</t>
  </si>
  <si>
    <t xml:space="preserve">Flanc ou arrière de l'appareil</t>
  </si>
  <si>
    <t xml:space="preserve">ECS-03</t>
  </si>
  <si>
    <t xml:space="preserve">Chauffe-eau gaz / chauffe-bain</t>
  </si>
  <si>
    <t xml:space="preserve">Décret 2009-649</t>
  </si>
  <si>
    <t xml:space="preserve">100-160 EUR</t>
  </si>
  <si>
    <t xml:space="preserve">Intoxication au CO</t>
  </si>
  <si>
    <t xml:space="preserve">Sous l'appareil ou derrière le capot avant</t>
  </si>
  <si>
    <t xml:space="preserve">Marque, modèle, n. de série, puissance (kW), type de gaz</t>
  </si>
  <si>
    <t xml:space="preserve">ECS-04</t>
  </si>
  <si>
    <t xml:space="preserve">Chauffe-eau solaire (CESI)</t>
  </si>
  <si>
    <t xml:space="preserve">Contrôle annuel (glycol, pression, sonde)</t>
  </si>
  <si>
    <t xml:space="preserve">Rapport d'intervention</t>
  </si>
  <si>
    <t xml:space="preserve">Glycol dégradé = corrosion du capteur, surchauffe estivale</t>
  </si>
  <si>
    <t xml:space="preserve">Ballon : sur l'enveloppe. Capteurs : étiquette au dos, inaccessible une fois poses</t>
  </si>
  <si>
    <t xml:space="preserve">Fabricant, capacité du ballon, surface de capteurs</t>
  </si>
  <si>
    <t xml:space="preserve">Dossier d'installation</t>
  </si>
  <si>
    <t xml:space="preserve">ECS-05</t>
  </si>
  <si>
    <t xml:space="preserve">Groupe de sécurité</t>
  </si>
  <si>
    <t xml:space="preserve">5-7 ans</t>
  </si>
  <si>
    <t xml:space="preserve">Manœuvre mensuelle ; remplacement 5 ans</t>
  </si>
  <si>
    <t xml:space="preserve">80-150 EUR pose</t>
  </si>
  <si>
    <t xml:space="preserve">Blocage = surpression et éclatement du ballon</t>
  </si>
  <si>
    <t xml:space="preserve">Marquage gravé sur le corps</t>
  </si>
  <si>
    <t xml:space="preserve">Marque, pression de tarage</t>
  </si>
  <si>
    <t xml:space="preserve">Suffisant pour commander le remplacement</t>
  </si>
  <si>
    <t xml:space="preserve">ECS-06</t>
  </si>
  <si>
    <t xml:space="preserve">Adoucisseur d'eau</t>
  </si>
  <si>
    <t xml:space="preserve">Sel mensuel ; désinfection annuelle ; contrôle pro tous les 2 ans</t>
  </si>
  <si>
    <t xml:space="preserve">Bac à sel colmaté, eau non adoucie, prolifération bactérienne</t>
  </si>
  <si>
    <t xml:space="preserve">Au dos de la tête de commande ou sur le bac</t>
  </si>
  <si>
    <t xml:space="preserve">Marque, modèle, volume de résine, n. de série</t>
  </si>
  <si>
    <t xml:space="preserve">CLIM-01</t>
  </si>
  <si>
    <t xml:space="preserve">Climatisation</t>
  </si>
  <si>
    <t xml:space="preserve">Climatiseur split / multisplit</t>
  </si>
  <si>
    <t xml:space="preserve">Pro avec attestation de capacité fluides</t>
  </si>
  <si>
    <t xml:space="preserve">Développement bactérien, perte de froid, fuite de fluide (fort PRG)</t>
  </si>
  <si>
    <t xml:space="preserve">CLIM-02</t>
  </si>
  <si>
    <t xml:space="preserve">Climatiseur mobile</t>
  </si>
  <si>
    <t xml:space="preserve">8-10 ans</t>
  </si>
  <si>
    <t xml:space="preserve">Nettoyage des filtres mensuel en saison</t>
  </si>
  <si>
    <t xml:space="preserve">Débit d'air réduit, odeurs, surconsommation</t>
  </si>
  <si>
    <t xml:space="preserve">Au dos de l'appareil</t>
  </si>
  <si>
    <t xml:space="preserve">Marque, modèle, puissance, type de fluide</t>
  </si>
  <si>
    <t xml:space="preserve">CLIM-03</t>
  </si>
  <si>
    <t xml:space="preserve">Circuit frigorifique &gt;= 5 t CO2 eq</t>
  </si>
  <si>
    <t xml:space="preserve">Règlement (UE) 2024/573 (F-Gas), applicable depuis le 11/03/2024</t>
  </si>
  <si>
    <t xml:space="preserve">Contrôle d'étanchéité tous les 12 mois (5 à 50 t CO2 eq)</t>
  </si>
  <si>
    <t xml:space="preserve">Opérateur certifié (attestation de capacité)</t>
  </si>
  <si>
    <t xml:space="preserve">Fiche d'intervention CERFA 15497</t>
  </si>
  <si>
    <t xml:space="preserve">150-300 EUR</t>
  </si>
  <si>
    <t xml:space="preserve">Sanction administrative, impact climatique majeur</t>
  </si>
  <si>
    <t xml:space="preserve">Étiquette fluide sur l'unité extérieure (étiquetage imposé par la réglementation F-Gas)</t>
  </si>
  <si>
    <t xml:space="preserve">Type de fluide, charge en kg et en t eq. CO2, mention hermétiquement scellé</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</si>
  <si>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</si>
  <si>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</si>
  <si>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</si>
  <si>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</si>
  <si>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</si>
  <si>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</si>
  <si>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dégradation du bâti</t>
  </si>
  <si>
    <t xml:space="preserve">Sur le caisson moteur, généralement dans les combles</t>
  </si>
  <si>
    <t xml:space="preserve">Marque, modèle, type (autoreglable ou hygroreglable)</t>
  </si>
  <si>
    <t xml:space="preserve">Le type conditionné les bouches de remplacement</t>
  </si>
  <si>
    <t xml:space="preserve">VENT-02</t>
  </si>
  <si>
    <t xml:space="preserve">VMC double flux</t>
  </si>
  <si>
    <t xml:space="preserve">Filtres tous les 3-6 mois ; échangeur annuel</t>
  </si>
  <si>
    <t xml:space="preserve">40-80 EUR de filtres/an</t>
  </si>
  <si>
    <t xml:space="preserve">Filtres saturés = débit nul, perte du rendement de récupération</t>
  </si>
  <si>
    <t xml:space="preserve">Sur la centrale, souvent près de la trappe d'accès aux filtres</t>
  </si>
  <si>
    <t xml:space="preserve">Marque, modèle, références des filtres</t>
  </si>
  <si>
    <t xml:space="preserve">Photographier aussi l'étiquette du filtre en place</t>
  </si>
  <si>
    <t xml:space="preserve">VENT-03</t>
  </si>
  <si>
    <t xml:space="preserve">Hotte aspirante</t>
  </si>
  <si>
    <t xml:space="preserve">Filtre à graisse mensuel ; filtre charbon tous les 6 mois</t>
  </si>
  <si>
    <t xml:space="preserve">20-40 EUR</t>
  </si>
  <si>
    <t xml:space="preserve">Risque d'incendie par accumulation de graisse, aspiration nulle</t>
  </si>
  <si>
    <t xml:space="preserve">À l'intérieur de la hotte, derrière les filtres à graisse</t>
  </si>
  <si>
    <t xml:space="preserve">Marque, modèle, n. de série, références des filtres</t>
  </si>
  <si>
    <t xml:space="preserve">VENT-04</t>
  </si>
  <si>
    <t xml:space="preserve">Grilles et entrées d'air</t>
  </si>
  <si>
    <t xml:space="preserve">30 ans</t>
  </si>
  <si>
    <t xml:space="preserve">Nettoyage semestriel</t>
  </si>
  <si>
    <t xml:space="preserve">Déficit d'air neuf, mauvais tirage des appareils à combustion</t>
  </si>
  <si>
    <t xml:space="preserve">VENT-05</t>
  </si>
  <si>
    <t xml:space="preserve">Puits canadien / provençal</t>
  </si>
  <si>
    <t xml:space="preserve">Contrôle annuel du siphon et du filtre</t>
  </si>
  <si>
    <t xml:space="preserve">100-200 EUR</t>
  </si>
  <si>
    <t xml:space="preserve">Stagnation d'eau, qualité d'air dégradée</t>
  </si>
  <si>
    <t xml:space="preserve">Pas de plaque standard</t>
  </si>
  <si>
    <t xml:space="preserve">FROID-01</t>
  </si>
  <si>
    <t xml:space="preserve">Froid</t>
  </si>
  <si>
    <t xml:space="preserve">Réfrigérateur</t>
  </si>
  <si>
    <t xml:space="preserve">Grille/condenseur tous les 6 mois ; joints ; dégivrage</t>
  </si>
  <si>
    <t xml:space="preserve">Condenseur empoussiere = +25% de conso, compresseur en surchauffe</t>
  </si>
  <si>
    <t xml:space="preserve">Paroi intérieure du compartiment réfrigérateur, sur le côté ou derrière le bac à légumes</t>
  </si>
  <si>
    <t xml:space="preserve">Marque, modèle, n. de série, classe énergétique, fluide</t>
  </si>
  <si>
    <t xml:space="preserve">Une étiquette extérieure peut porter un numéro de contrôle usine et non le n. de série</t>
  </si>
  <si>
    <t xml:space="preserve">FROID-02</t>
  </si>
  <si>
    <t xml:space="preserve">Congélateur</t>
  </si>
  <si>
    <t xml:space="preserve">12-18 ans</t>
  </si>
  <si>
    <t xml:space="preserve">Dégivrage annuel ; joints</t>
  </si>
  <si>
    <t xml:space="preserve">3 mm de givre = +30% de conso</t>
  </si>
  <si>
    <t xml:space="preserve">Paroi intérieure ; coffre : au dos ou sous le couvercle</t>
  </si>
  <si>
    <t xml:space="preserve">Marque, modèle, n. de série, classe énergétique</t>
  </si>
  <si>
    <t xml:space="preserve">FROID-03</t>
  </si>
  <si>
    <t xml:space="preserve">Réfrigérateur américain (distributeur eau/glace)</t>
  </si>
  <si>
    <t xml:space="preserve">10-12 ans</t>
  </si>
  <si>
    <t xml:space="preserve">Filtre à eau tous les 6 mois</t>
  </si>
  <si>
    <t xml:space="preserve">30-60 EUR le filtre</t>
  </si>
  <si>
    <t xml:space="preserve">Goût désagréable, contamination bactérienne du circuit</t>
  </si>
  <si>
    <t xml:space="preserve">Paroi intérieure du compartiment réfrigérateur, en haut ou sur le côté</t>
  </si>
  <si>
    <t xml:space="preserve">Marque, modèle, n. de série, référence du filtre à eau</t>
  </si>
  <si>
    <t xml:space="preserve">FROID-04</t>
  </si>
  <si>
    <t xml:space="preserve">Cave à vin</t>
  </si>
  <si>
    <t xml:space="preserve">Filtre à charbon annuel ; nettoyage du bac</t>
  </si>
  <si>
    <t xml:space="preserve">15-30 EUR</t>
  </si>
  <si>
    <t xml:space="preserve">Hygrometrie instable, bouchons desséchés</t>
  </si>
  <si>
    <t xml:space="preserve">Paroi intérieure, en partie basse</t>
  </si>
  <si>
    <t xml:space="preserve">Marque, modèle, n. de série</t>
  </si>
  <si>
    <t xml:space="preserve">LAV-01</t>
  </si>
  <si>
    <t xml:space="preserve">Lavage</t>
  </si>
  <si>
    <t xml:space="preserve">Lave-linge</t>
  </si>
  <si>
    <t xml:space="preserve">Filtre de vidange trimestriel ; joint mensuel ; détartrage semestriel ; tuyau tous les 5 ans</t>
  </si>
  <si>
    <t xml:space="preserve">0-30 EUR</t>
  </si>
  <si>
    <t xml:space="preserve">Dégât des eaux (1re cause de sinistre domestique), moisissures, panne de pompe</t>
  </si>
  <si>
    <t xml:space="preserve">Frontal : cadre du hublot, visible porte ouverte (souvent en haut) ; sinon trappe du filtre ou dos. Top : sous le couvercle ou au dos</t>
  </si>
  <si>
    <t xml:space="preserve">Marque, modèle, n. de série, code service ou PNC selon la marque, date de fabrication</t>
  </si>
  <si>
    <t xml:space="preserve">Emplacement et identifiant adaptés à la marque : voir onglet Plaques par marque</t>
  </si>
  <si>
    <t xml:space="preserve">LAV-02</t>
  </si>
  <si>
    <t xml:space="preserve">Sèche-linge (condensation ou PAC)</t>
  </si>
  <si>
    <t xml:space="preserve">Filtre à chaque cycle ; condenseur mensuel ; filtre PAC trimestriel</t>
  </si>
  <si>
    <t xml:space="preserve">Risque d'incendie par peluches, temps de séchage double</t>
  </si>
  <si>
    <t xml:space="preserve">Cadre de la porte, visible porte ouverte</t>
  </si>
  <si>
    <t xml:space="preserve">Marque, modèle, n. de série, type (condensation ou PAC), fluide si PAC</t>
  </si>
  <si>
    <t xml:space="preserve">LAV-03</t>
  </si>
  <si>
    <t xml:space="preserve">Lave-vaisselle</t>
  </si>
  <si>
    <t xml:space="preserve">Filtre mensuel ; bras de lavage trimestriel ; sel et liquide de rinçage ; détartrage semestriel</t>
  </si>
  <si>
    <t xml:space="preserve">0-20 EUR</t>
  </si>
  <si>
    <t xml:space="preserve">Mauvaises odeurs, vaisselle mal lavée, pompe bloquée</t>
  </si>
  <si>
    <t xml:space="preserve">Chant de la porte (côté ou dessus), visible porte ouverte</t>
  </si>
  <si>
    <t xml:space="preserve">Marque, modèle, n. de série, code service selon la marque</t>
  </si>
  <si>
    <t xml:space="preserve">LAV-04</t>
  </si>
  <si>
    <t xml:space="preserve">Lave-linge séchant</t>
  </si>
  <si>
    <t xml:space="preserve">Cumul des entretiens lave-linge et sèche-linge</t>
  </si>
  <si>
    <t xml:space="preserve">Usure accélérée, condenseur colmaté</t>
  </si>
  <si>
    <t xml:space="preserve">Cadre du hublot, visible porte ouverte</t>
  </si>
  <si>
    <t xml:space="preserve">CUIS-01</t>
  </si>
  <si>
    <t xml:space="preserve">Cuisson</t>
  </si>
  <si>
    <t xml:space="preserve">Four (pyrolyse / catalyse)</t>
  </si>
  <si>
    <t xml:space="preserve">Pyrolyse trimestrielle ; joint de porte contrôle annuel</t>
  </si>
  <si>
    <t xml:space="preserve">Joint usé = perte de chaleur, cuissons irrégulières</t>
  </si>
  <si>
    <t xml:space="preserve">Cadre du four, visible porte ouverte ; sinon derrière le tiroir inférieur</t>
  </si>
  <si>
    <t xml:space="preserve">Marque, modèle, n. de série, puissance</t>
  </si>
  <si>
    <t xml:space="preserve">CUIS-02</t>
  </si>
  <si>
    <t xml:space="preserve">Plaque à induction</t>
  </si>
  <si>
    <t xml:space="preserve">Nettoyage après usage ; grille de ventilation tous les 6 mois</t>
  </si>
  <si>
    <t xml:space="preserve">Surchauffe de l'électronique, coupures en cours de cuisson</t>
  </si>
  <si>
    <t xml:space="preserve">Sous la table, inaccessible une fois encastrée</t>
  </si>
  <si>
    <t xml:space="preserve">Chercher la 2e étiquette fournie avec la notice, ou photographier la facture</t>
  </si>
  <si>
    <t xml:space="preserve">CUIS-03</t>
  </si>
  <si>
    <t xml:space="preserve">Plaque / cuisinière gaz</t>
  </si>
  <si>
    <t xml:space="preserve">Nettoyage des injecteurs annuel ; contrôle du flexible</t>
  </si>
  <si>
    <t xml:space="preserve">Flamme jaune = mauvaise combustion et CO</t>
  </si>
  <si>
    <t xml:space="preserve">Sous la table</t>
  </si>
  <si>
    <t xml:space="preserve">Marque, modèle, type de gaz</t>
  </si>
  <si>
    <t xml:space="preserve">Notice ou facture</t>
  </si>
  <si>
    <t xml:space="preserve">CUIS-04</t>
  </si>
  <si>
    <t xml:space="preserve">Tuyau flexible gaz</t>
  </si>
  <si>
    <t xml:space="preserve">5-10 ans (date imprimée)</t>
  </si>
  <si>
    <t xml:space="preserve">Oui (implicite)</t>
  </si>
  <si>
    <t xml:space="preserve">Arrêté du 02/08/1977 modifié ; NF D 36-100 / 36-103</t>
  </si>
  <si>
    <t xml:space="preserve">Remplacement impératif à la date de péremption imprimée</t>
  </si>
  <si>
    <t xml:space="preserve">Date visible sur le flexible</t>
  </si>
  <si>
    <t xml:space="preserve">15-40 EUR</t>
  </si>
  <si>
    <t xml:space="preserve">Fuite de gaz, explosion, non-couverture assurance</t>
  </si>
  <si>
    <t xml:space="preserve">Étiquette datée</t>
  </si>
  <si>
    <t xml:space="preserve">Marquage imprimé sur la bague ou le tuyau</t>
  </si>
  <si>
    <t xml:space="preserve">Date limite d'utilisation, norme NF D 36-100 / 36-103</t>
  </si>
  <si>
    <t xml:space="preserve">La photo lit la date de péremption : rappel créé automatiquement</t>
  </si>
  <si>
    <t xml:space="preserve">CUIS-05</t>
  </si>
  <si>
    <t xml:space="preserve">Four à micro-ondes</t>
  </si>
  <si>
    <t xml:space="preserve">Nettoyage hebdomadaire ; contrôle du joint de porte annuel</t>
  </si>
  <si>
    <t xml:space="preserve">Fuite de micro-ondes si le joint est abîmé</t>
  </si>
  <si>
    <t xml:space="preserve">Cadre de la porte ou au dos</t>
  </si>
  <si>
    <t xml:space="preserve">CUIS-06</t>
  </si>
  <si>
    <t xml:space="preserve">Machine à café / expresso</t>
  </si>
  <si>
    <t xml:space="preserve">5-10 ans</t>
  </si>
  <si>
    <t xml:space="preserve">Détartrage tous les 1-3 mois selon dureté de l'eau</t>
  </si>
  <si>
    <t xml:space="preserve">10-20 EUR</t>
  </si>
  <si>
    <t xml:space="preserve">Entartrage = panne de pompe, cause n.1 de mise au rebut</t>
  </si>
  <si>
    <t xml:space="preserve">Sous l'appareil ou derrière le réservoir d'eau</t>
  </si>
  <si>
    <t xml:space="preserve">PEM-01</t>
  </si>
  <si>
    <t xml:space="preserve">Aspirateur traîneau / balai</t>
  </si>
  <si>
    <t xml:space="preserve">6-10 ans</t>
  </si>
  <si>
    <t xml:space="preserve">Bac après usage ; filtre HEPA tous les 6 mois</t>
  </si>
  <si>
    <t xml:space="preserve">Perte d'aspiration, surchauffe du moteur</t>
  </si>
  <si>
    <t xml:space="preserve">Sous l'appareil ou dans le compartiment à poussière</t>
  </si>
  <si>
    <t xml:space="preserve">Marque, modèle, référence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</si>
  <si>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</si>
  <si>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</si>
  <si>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</si>
  <si>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</si>
  <si>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</si>
  <si>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enroulés = moteur forcé, navigation erratique</t>
  </si>
  <si>
    <t xml:space="preserve">Sous le robot, souvent près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</si>
  <si>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</si>
  <si>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</si>
  <si>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</si>
  <si>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</si>
  <si>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</si>
  <si>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</si>
  <si>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saturé = rejet de particules accumulées</t>
  </si>
  <si>
    <t xml:space="preserve">Au dos ou sous l'appareil</t>
  </si>
  <si>
    <t xml:space="preserve">Marque, modèle, référence des filtres</t>
  </si>
  <si>
    <t xml:space="preserve">PEM-04</t>
  </si>
  <si>
    <t xml:space="preserve">Deshumidificateur</t>
  </si>
  <si>
    <t xml:space="preserve">Réservoir et filtre mensuels</t>
  </si>
  <si>
    <t xml:space="preserve">Développement bactérien dans le bac</t>
  </si>
  <si>
    <t xml:space="preserve">Marque, modèle, type de fluide</t>
  </si>
  <si>
    <t xml:space="preserve">PEM-05</t>
  </si>
  <si>
    <t xml:space="preserve">Fer / centrale vapeur</t>
  </si>
  <si>
    <t xml:space="preserve">5-8 ans</t>
  </si>
  <si>
    <t xml:space="preserve">Détartrage tous les 1-3 mois</t>
  </si>
  <si>
    <t xml:space="preserve">5-15 EUR</t>
  </si>
  <si>
    <t xml:space="preserve">Projection de calcaire sur le linge, panne de chaudière</t>
  </si>
  <si>
    <t xml:space="preserve">Sous la base ou la station</t>
  </si>
  <si>
    <t xml:space="preserve">Marque, modèle</t>
  </si>
  <si>
    <t xml:space="preserve">EAU-01</t>
  </si>
  <si>
    <t xml:space="preserve">Eau</t>
  </si>
  <si>
    <t xml:space="preserve">Réseau de plomberie et robinetterie</t>
  </si>
  <si>
    <t xml:space="preserve">Mousseurs tous les 6 mois ; recherche de fuite annuelle</t>
  </si>
  <si>
    <t xml:space="preserve">Une fuite de chasse d'eau = jusqu'à 200 m3/an perdus</t>
  </si>
  <si>
    <t xml:space="preserve">EAU-02</t>
  </si>
  <si>
    <t xml:space="preserve">Compteur d'eau</t>
  </si>
  <si>
    <t xml:space="preserve">15 ans</t>
  </si>
  <si>
    <t xml:space="preserve">Relevé mensuel pour détecter les fuites</t>
  </si>
  <si>
    <t xml:space="preserve">Fuite invisible facturée au plein tarif</t>
  </si>
  <si>
    <t xml:space="preserve">Cadran du compteur</t>
  </si>
  <si>
    <t xml:space="preserve">N. du compteur, index</t>
  </si>
  <si>
    <t xml:space="preserve">La photo relève l'index : suivi mensuel de consommation</t>
  </si>
  <si>
    <t xml:space="preserve">EAU-03</t>
  </si>
  <si>
    <t xml:space="preserve">Disconnecteur / clapet anti-retour</t>
  </si>
  <si>
    <t xml:space="preserve">Arrêté du 17/03/2004 (protection des réseaux d'eau potable)</t>
  </si>
  <si>
    <t xml:space="preserve">Contrôle annuel si arrosage ou récupérateur relié au réseau</t>
  </si>
  <si>
    <t xml:space="preserve">Retour d'eau polluée dans le réseau public, responsabilité engagée</t>
  </si>
  <si>
    <t xml:space="preserve">Marquage sur le corps</t>
  </si>
  <si>
    <t xml:space="preserve">Marque, type (BA, CA, EA)</t>
  </si>
  <si>
    <t xml:space="preserve">EAU-04</t>
  </si>
  <si>
    <t xml:space="preserve">Pompe de relevage</t>
  </si>
  <si>
    <t xml:space="preserve">8-12 ans</t>
  </si>
  <si>
    <t xml:space="preserve">Contrôle annuel du flotteur et du clapet</t>
  </si>
  <si>
    <t xml:space="preserve">Particulier ou Pro</t>
  </si>
  <si>
    <t xml:space="preserve">Inondation du sous-sol</t>
  </si>
  <si>
    <t xml:space="preserve">Sur le corps ou le moteur de la pompe</t>
  </si>
  <si>
    <t xml:space="preserve">Marque, modèle, puissance</t>
  </si>
  <si>
    <t xml:space="preserve">EAU-05</t>
  </si>
  <si>
    <t xml:space="preserve">Puits / forage domestique</t>
  </si>
  <si>
    <t xml:space="preserve">Oui (déclaration)</t>
  </si>
  <si>
    <t xml:space="preserve">Art. L2224-9 CGCT ; décret 2008-652</t>
  </si>
  <si>
    <t xml:space="preserve">Déclaration obligatoire en mairie ; contrôle si relié au réseau</t>
  </si>
  <si>
    <t xml:space="preserve">Mairie / service des eaux</t>
  </si>
  <si>
    <t xml:space="preserve">Récépissé de déclaration</t>
  </si>
  <si>
    <t xml:space="preserve">Amende, mise en demeure de déconnexion</t>
  </si>
  <si>
    <t xml:space="preserve">Photographier le récépissé de déclaration en mairie</t>
  </si>
  <si>
    <t xml:space="preserve">EAU-06</t>
  </si>
  <si>
    <t xml:space="preserve">Récupérateur d'eau de pluie</t>
  </si>
  <si>
    <t xml:space="preserve">Arrêté du 21/08/2008 (usages intérieurs)</t>
  </si>
  <si>
    <t xml:space="preserve">Filtre tous les 6 mois ; cuve annuelle ; carnet sanitaire si usage intérieur</t>
  </si>
  <si>
    <t xml:space="preserve">Carnet sanitaire</t>
  </si>
  <si>
    <t xml:space="preserve">0-100 EUR</t>
  </si>
  <si>
    <t xml:space="preserve">Contamination du réseau, non-conformité en cas de contrôle</t>
  </si>
  <si>
    <t xml:space="preserve">Étiquette sur la cuve, souvent près du trou d'homme</t>
  </si>
  <si>
    <t xml:space="preserve">Fabricant, capacité (L)</t>
  </si>
  <si>
    <t xml:space="preserve">EAU-07</t>
  </si>
  <si>
    <t xml:space="preserve">Surpresseur</t>
  </si>
  <si>
    <t xml:space="preserve">Contrôle de la pression du vase annuel</t>
  </si>
  <si>
    <t xml:space="preserve">Cycles courts = usure rapide de la pompe</t>
  </si>
  <si>
    <t xml:space="preserve">Sur le moteur de la pompe</t>
  </si>
  <si>
    <t xml:space="preserve">Marque, modèle, puissance, capacité du vase</t>
  </si>
  <si>
    <t xml:space="preserve">EAU-08</t>
  </si>
  <si>
    <t xml:space="preserve">Ballon tampon / hydroaccumulation</t>
  </si>
  <si>
    <t xml:space="preserve">Contrôle de la pression et de l'anode tous les 2 ans</t>
  </si>
  <si>
    <t xml:space="preserve">100-150 EUR</t>
  </si>
  <si>
    <t xml:space="preserve">Corrosion interne, perte de stratification</t>
  </si>
  <si>
    <t xml:space="preserve">Sur l'enveloppe du ballon</t>
  </si>
  <si>
    <t xml:space="preserve">Fabricant, capacité (L), pression maximale</t>
  </si>
  <si>
    <t xml:space="preserve">ASS-01</t>
  </si>
  <si>
    <t xml:space="preserve">Assainissement</t>
  </si>
  <si>
    <t xml:space="preserve">Fosse toutes eaux / fosse septique</t>
  </si>
  <si>
    <t xml:space="preserve">30-40 ans</t>
  </si>
  <si>
    <t xml:space="preserve">CSP art. L1331-1-1 ; arrêté du 27/04/2012</t>
  </si>
  <si>
    <t xml:space="preserve">Contrôle SPANC au moins tous les 10 ans ; vidange à 50% de boues (environ 4 ans)</t>
  </si>
  <si>
    <t xml:space="preserve">Vidangeur agréé + SPANC</t>
  </si>
  <si>
    <t xml:space="preserve">Bordereau de suivi de vidange + rapport SPANC</t>
  </si>
  <si>
    <t xml:space="preserve">250-400 EUR</t>
  </si>
  <si>
    <t xml:space="preserve">Non-conformité, travaux imposés, majoration de redevance, blocage à la vente</t>
  </si>
  <si>
    <t xml:space="preserve">Photographier le rapport SPANC et le dernier bordereau de vidange</t>
  </si>
  <si>
    <t xml:space="preserve">ASS-02</t>
  </si>
  <si>
    <t xml:space="preserve">Micro-station d'épuration</t>
  </si>
  <si>
    <t xml:space="preserve">Contrat de maintenance annuel ; vidange selon taux de boues (6-12 mois de contrôle)</t>
  </si>
  <si>
    <t xml:space="preserve">Pro agréé</t>
  </si>
  <si>
    <t xml:space="preserve">Contrat + bordereau de vidange</t>
  </si>
  <si>
    <t xml:space="preserve">150-300 EUR/an</t>
  </si>
  <si>
    <t xml:space="preserve">Arrêt de la biomasse epuratoire, rejets non conformes</t>
  </si>
  <si>
    <t xml:space="preserve">Étiquette sur la cuve ou sur le surpresseur</t>
  </si>
  <si>
    <t xml:space="preserve">Fabricant, modèle, capacité (EH), n. d'agrément</t>
  </si>
  <si>
    <t xml:space="preserve">Le n. d'agrément ministériel est demandé par le SPANC</t>
  </si>
  <si>
    <t xml:space="preserve">ASS-03</t>
  </si>
  <si>
    <t xml:space="preserve">Bac à graisse</t>
  </si>
  <si>
    <t xml:space="preserve">Nettoyage tous les 6 mois</t>
  </si>
  <si>
    <t xml:space="preserve">Colmatage de l'épandage, odeurs</t>
  </si>
  <si>
    <t xml:space="preserve">ASS-04</t>
  </si>
  <si>
    <t xml:space="preserve">Prefiltre / filtre à sable</t>
  </si>
  <si>
    <t xml:space="preserve">Nettoyage tous les 6 mois ; contrôle du sable tous les 10 ans</t>
  </si>
  <si>
    <t xml:space="preserve">Colmatage, remontées d'eaux usées</t>
  </si>
  <si>
    <t xml:space="preserve">ASS-05</t>
  </si>
  <si>
    <t xml:space="preserve">Canalisations EU / EV</t>
  </si>
  <si>
    <t xml:space="preserve">50 ans</t>
  </si>
  <si>
    <t xml:space="preserve">Curage préventif tous les 2-3 ans</t>
  </si>
  <si>
    <t xml:space="preserve">Facture</t>
  </si>
  <si>
    <t xml:space="preserve">Bouchon, refoulement, dégât des eaux</t>
  </si>
  <si>
    <t xml:space="preserve">ENE-01</t>
  </si>
  <si>
    <t xml:space="preserve">Panneaux photovoltaiques</t>
  </si>
  <si>
    <t xml:space="preserve">Contrôle visuel tous les 6 mois ; nettoyage tous les 1-2 ans ; contrôle pro tous les 2-4 ans</t>
  </si>
  <si>
    <t xml:space="preserve">Salissures = -5 à -15% de production ; point chaud non détecté = risque incendie</t>
  </si>
  <si>
    <t xml:space="preserve">Étiquette au dos de chaque module, inaccessible une fois pose</t>
  </si>
  <si>
    <t xml:space="preserve">Marque, modèle, puissance crête (Wc)</t>
  </si>
  <si>
    <t xml:space="preserve">Dossier d'installation ou attestation Consuel</t>
  </si>
  <si>
    <t xml:space="preserve">ENE-02</t>
  </si>
  <si>
    <t xml:space="preserve">Onduleur photovoltaique</t>
  </si>
  <si>
    <t xml:space="preserve">Suivi de production mensuel ; dépoussiérage annuel</t>
  </si>
  <si>
    <t xml:space="preserve">Sous-production non détectée pendant des mois</t>
  </si>
  <si>
    <t xml:space="preserve">Sur le flanc du boîtier</t>
  </si>
  <si>
    <t xml:space="preserve">Aussi visible dans l'application de monitoring</t>
  </si>
  <si>
    <t xml:space="preserve">ENE-03</t>
  </si>
  <si>
    <t xml:space="preserve">Batterie de stockage</t>
  </si>
  <si>
    <t xml:space="preserve">Contrôle annuel (état de santé, ventilation)</t>
  </si>
  <si>
    <t xml:space="preserve">Rapport</t>
  </si>
  <si>
    <t xml:space="preserve">Perte de capacité, risque thermique</t>
  </si>
  <si>
    <t xml:space="preserve">Sur le boîtier</t>
  </si>
  <si>
    <t xml:space="preserve">Marque, modèle, n. de série, capacité (kWh)</t>
  </si>
  <si>
    <t xml:space="preserve">ENE-04</t>
  </si>
  <si>
    <t xml:space="preserve">Borne de recharge VE (IRVE)</t>
  </si>
  <si>
    <t xml:space="preserve">Contrôle annuel : câble, prise, différentiel, serrage</t>
  </si>
  <si>
    <t xml:space="preserve">Pro IRVE</t>
  </si>
  <si>
    <t xml:space="preserve">Échauffement des contacts, déclenchements, risque incendie</t>
  </si>
  <si>
    <t xml:space="preserve">Sous le capot ou sur le flanc</t>
  </si>
  <si>
    <t xml:space="preserve">Marque, modèle, n. de série, puissance (kW)</t>
  </si>
  <si>
    <t xml:space="preserve">ENE-05</t>
  </si>
  <si>
    <t xml:space="preserve">Tableau électrique et différentiels</t>
  </si>
  <si>
    <t xml:space="preserve">Diagnostic électrique : art. L271-4 CCH (vente si &gt; 15 ans) ; location : validité 6 ans</t>
  </si>
  <si>
    <t xml:space="preserve">Test des différentiels mensuel ; diagnostic à la vente ou à la mise en location</t>
  </si>
  <si>
    <t xml:space="preserve">Particulier + diagnostiqueur certifié</t>
  </si>
  <si>
    <t xml:space="preserve">Diagnostic électrique</t>
  </si>
  <si>
    <t xml:space="preserve">110-160 EUR le diagnostic</t>
  </si>
  <si>
    <t xml:space="preserve">Différentiel bloqué = protection nulle contre l'électrocution</t>
  </si>
  <si>
    <t xml:space="preserve">Pas de plaque unique : calibre et sensibilité gravés sur chaque différentiel</t>
  </si>
  <si>
    <t xml:space="preserve">Calibre, sensibilité (30 mA), type (AC, A, F)</t>
  </si>
  <si>
    <t xml:space="preserve">ENE-06</t>
  </si>
  <si>
    <t xml:space="preserve">Installation intérieure de gaz</t>
  </si>
  <si>
    <t xml:space="preserve">Oui (diagnostic)</t>
  </si>
  <si>
    <t xml:space="preserve">Art. L271-4 CCH</t>
  </si>
  <si>
    <t xml:space="preserve">Diagnostic à la vente si installation &gt; 15 ans (validité 3 ans) ; 6 ans en location</t>
  </si>
  <si>
    <t xml:space="preserve">Diagnostiqueur certifié</t>
  </si>
  <si>
    <t xml:space="preserve">Diagnostic gaz</t>
  </si>
  <si>
    <t xml:space="preserve">110-150 EUR</t>
  </si>
  <si>
    <t xml:space="preserve">Vente bloquée, responsabilité en cas de sinistre</t>
  </si>
  <si>
    <t xml:space="preserve">Photographier le dernier diagnostic gaz</t>
  </si>
  <si>
    <t xml:space="preserve">ENE-07</t>
  </si>
  <si>
    <t xml:space="preserve">Groupe électrogène</t>
  </si>
  <si>
    <t xml:space="preserve">Démarrage mensuel ; vidange annuelle ; carburant stabilisé</t>
  </si>
  <si>
    <t xml:space="preserve">Refus de démarrage le jour de la coupure</t>
  </si>
  <si>
    <t xml:space="preserve">Sur le châssis ou le moteur</t>
  </si>
  <si>
    <t xml:space="preserve">Marque, modèle, puissance (kVA), n. de série</t>
  </si>
  <si>
    <t xml:space="preserve">SEC-01</t>
  </si>
  <si>
    <t xml:space="preserve">Securite</t>
  </si>
  <si>
    <t xml:space="preserve">Détecteur de fumée (DAAF)</t>
  </si>
  <si>
    <t xml:space="preserve">10 ans</t>
  </si>
  <si>
    <t xml:space="preserve">Loi 2010-238 ; art. R129-12 à R129-15 CCH</t>
  </si>
  <si>
    <t xml:space="preserve">Installé par le propriétaire ; test mensuel et pile annuelle par l'occupant</t>
  </si>
  <si>
    <t xml:space="preserve">Attestation à transmettre à l'assureur</t>
  </si>
  <si>
    <t xml:space="preserve">Détecteur muet = risque vital ; difficulté d'indemnisation</t>
  </si>
  <si>
    <t xml:space="preserve">Au dos du détecteur</t>
  </si>
  <si>
    <t xml:space="preserve">Date de fabrication ou de fin de vie, norme NF EN 14604</t>
  </si>
  <si>
    <t xml:space="preserve">La photo lit la date : rappel de remplacement à 10 ans créé automatiquement</t>
  </si>
  <si>
    <t xml:space="preserve">SEC-02</t>
  </si>
  <si>
    <t xml:space="preserve">Détecteur de monoxyde de carbone</t>
  </si>
  <si>
    <t xml:space="preserve">Non (fortement recommandé)</t>
  </si>
  <si>
    <t xml:space="preserve">Test mensuel ; remplacement tous les 5-7 ans</t>
  </si>
  <si>
    <t xml:space="preserve">25-50 EUR</t>
  </si>
  <si>
    <t xml:space="preserve">Intoxication au CO : environ 100 décès par an en France</t>
  </si>
  <si>
    <t xml:space="preserve">Date de fin de vie, norme NF EN 50291</t>
  </si>
  <si>
    <t xml:space="preserve">Rappel de fin de vie créé automatiquement</t>
  </si>
  <si>
    <t xml:space="preserve">SEC-03</t>
  </si>
  <si>
    <t xml:space="preserve">Extincteur</t>
  </si>
  <si>
    <t xml:space="preserve">20 ans (avec contrôle)</t>
  </si>
  <si>
    <t xml:space="preserve">Obligatoire en parties communes et ERP ; facultatif en maison individuelle</t>
  </si>
  <si>
    <t xml:space="preserve">Vérification annuelle ; requalification tous les 10 ans</t>
  </si>
  <si>
    <t xml:space="preserve">Pro certifié</t>
  </si>
  <si>
    <t xml:space="preserve">Étiquette de contrôle</t>
  </si>
  <si>
    <t xml:space="preserve">25-50 EUR/an</t>
  </si>
  <si>
    <t xml:space="preserve">Extincteur inopérant au moment critique</t>
  </si>
  <si>
    <t xml:space="preserve">Étiquette sur le corps</t>
  </si>
  <si>
    <t xml:space="preserve">Date de fabrication, date du dernier contrôle, type d'agent</t>
  </si>
  <si>
    <t xml:space="preserve">SEC-04</t>
  </si>
  <si>
    <t xml:space="preserve">Alarme / système anti-intrusion</t>
  </si>
  <si>
    <t xml:space="preserve">Test mensuel ; piles des détecteurs annuelles</t>
  </si>
  <si>
    <t xml:space="preserve">Fausses alarmes ou absence de déclenchement</t>
  </si>
  <si>
    <t xml:space="preserve">Sous le capot de la centrale</t>
  </si>
  <si>
    <t xml:space="preserve">Application du fabricant</t>
  </si>
  <si>
    <t xml:space="preserve">SEC-05</t>
  </si>
  <si>
    <t xml:space="preserve">Videosurveillance</t>
  </si>
  <si>
    <t xml:space="preserve">RGPD ; art. 226-1 Code pénal si captation de la voie publique ou du voisinage</t>
  </si>
  <si>
    <t xml:space="preserve">Nettoyage des optiques tous les 6 mois ; purge des enregistrements</t>
  </si>
  <si>
    <t xml:space="preserve">Images inexploitables ; plainte pour atteinte à la vie privée</t>
  </si>
  <si>
    <t xml:space="preserve">Sous ou au dos de la caméra</t>
  </si>
  <si>
    <t xml:space="preserve">SEC-06</t>
  </si>
  <si>
    <t xml:space="preserve">Interphone / visiophone</t>
  </si>
  <si>
    <t xml:space="preserve">Nettoyage et test annuels</t>
  </si>
  <si>
    <t xml:space="preserve">Platine de rue corrodee par les intempéries</t>
  </si>
  <si>
    <t xml:space="preserve">Au dos du poste intérieur</t>
  </si>
  <si>
    <t xml:space="preserve">SEC-07</t>
  </si>
  <si>
    <t xml:space="preserve">Ascenseur privatif / monte-escalier</t>
  </si>
  <si>
    <t xml:space="preserve">Art. L125-2-2 et R125-2 CCH ; décret 2004-964</t>
  </si>
  <si>
    <t xml:space="preserve">Contrat d'entretien obligatoire ; visite au moins toutes les 6 semaines ; contrôle technique tous les 5 ans</t>
  </si>
  <si>
    <t xml:space="preserve">Ascensoriste</t>
  </si>
  <si>
    <t xml:space="preserve">Carnet d'entretien + rapport quinquennal</t>
  </si>
  <si>
    <t xml:space="preserve">1500-3000 EUR/an</t>
  </si>
  <si>
    <t xml:space="preserve">Responsabilité civile et pénale du propriétaire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</si>
  <si>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</si>
  <si>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</si>
  <si>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</si>
  <si>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</si>
  <si>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</si>
  <si>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motorisé</t>
  </si>
  <si>
    <t xml:space="preserve">Non (individuel) / Oui (collectif)</t>
  </si>
  <si>
    <t xml:space="preserve">Arrêté du 21/12/1993 : visite semestrielle pour les portails collectifs</t>
  </si>
  <si>
    <t xml:space="preserve">Graissage et test des sécurités tous les 6 mois</t>
  </si>
  <si>
    <t xml:space="preserve">Particulier (individuel) / Pro (collectif)</t>
  </si>
  <si>
    <t xml:space="preserve">Livret d'entretien (collectif)</t>
  </si>
  <si>
    <t xml:space="preserve">0-150 EUR</t>
  </si>
  <si>
    <t xml:space="preserve">Sécurité anti-écrasement défaillante, moteur forcé</t>
  </si>
  <si>
    <t xml:space="preserve">Sur le moteur ou le boîtier de commande</t>
  </si>
  <si>
    <t xml:space="preserve">Marque, modèle du moteur</t>
  </si>
  <si>
    <t xml:space="preserve">OUV-02</t>
  </si>
  <si>
    <t xml:space="preserve">Porte de garage motorisée</t>
  </si>
  <si>
    <t xml:space="preserve">Arrêté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</si>
  <si>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</si>
  <si>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</si>
  <si>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</si>
  <si>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</si>
  <si>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</si>
  <si>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</si>
  <si>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</si>
  <si>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</si>
  <si>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coincées, moteur grillé</t>
  </si>
  <si>
    <t xml:space="preserve">Sur le moteur, dans le coffre : inaccessible</t>
  </si>
  <si>
    <t xml:space="preserve">Marque du moteur</t>
  </si>
  <si>
    <t xml:space="preserve">Facture de l'installateur</t>
  </si>
  <si>
    <t xml:space="preserve">OUV-04</t>
  </si>
  <si>
    <t xml:space="preserve">Fenêtres et menuiseries</t>
  </si>
  <si>
    <t xml:space="preserve">Joints, quincaillerie et réglage annuels</t>
  </si>
  <si>
    <t xml:space="preserve">Infiltrations, déperdition thermique, ferrage désaxé</t>
  </si>
  <si>
    <t xml:space="preserve">Marquage dans la feuillure du dormant (pas systématique)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</si>
  <si>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</si>
  <si>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</si>
  <si>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</si>
  <si>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</si>
  <si>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</si>
  <si>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bloqués, casse au premier coup de vent</t>
  </si>
  <si>
    <t xml:space="preserve">Étiquette sous le coffre ou sur la barre de charge</t>
  </si>
  <si>
    <t xml:space="preserve">Fabricant, modèle, dimensions</t>
  </si>
  <si>
    <t xml:space="preserve">PIS-01</t>
  </si>
  <si>
    <t xml:space="preserve">Piscine</t>
  </si>
  <si>
    <t xml:space="preserve">Bassin de piscine enterrée</t>
  </si>
  <si>
    <t xml:space="preserve">Oui (sécurité)</t>
  </si>
  <si>
    <t xml:space="preserve">Loi 2003-9 ; art. L128-1 et R128-1 CCH</t>
  </si>
  <si>
    <t xml:space="preserve">Dispositif de sécurité normalisé obligatoire en permanence (barrière, alarme, couverture ou abri)</t>
  </si>
  <si>
    <t xml:space="preserve">Attestation de conformité du dispositif</t>
  </si>
  <si>
    <t xml:space="preserve">45 000 EUR d'amende si absence</t>
  </si>
  <si>
    <t xml:space="preserve">Noyade d'enfant ; amende jusqu'à 45 000 EUR</t>
  </si>
  <si>
    <t xml:space="preserve">Photographier l'attestation de conformité du dispositif de sécurité</t>
  </si>
  <si>
    <t xml:space="preserve">PIS-02</t>
  </si>
  <si>
    <t xml:space="preserve">Filtre à sable</t>
  </si>
  <si>
    <t xml:space="preserve">Contre-lavage hebdomadaire en saison ; remplacement du sable tous les 5-7 ans</t>
  </si>
  <si>
    <t xml:space="preserve">150-300 EUR le sable</t>
  </si>
  <si>
    <t xml:space="preserve">Sable colmaté = eau trouble, surconsommation de produits</t>
  </si>
  <si>
    <t xml:space="preserve">Étiquette sur la cuve du filtre</t>
  </si>
  <si>
    <t xml:space="preserve">Marque, modèle, diamètre, débit, volume de sable</t>
  </si>
  <si>
    <t xml:space="preserve">Le volume de sable conditionné la commande de recharge</t>
  </si>
  <si>
    <t xml:space="preserve">PIS-03</t>
  </si>
  <si>
    <t xml:space="preserve">Pompe de filtration</t>
  </si>
  <si>
    <t xml:space="preserve">Prefiltre hebdomadaire ; hivernage annuel</t>
  </si>
  <si>
    <t xml:space="preserve">Pompe désamorcée ou gelée = remplacement complet</t>
  </si>
  <si>
    <t xml:space="preserve">Sur le moteur</t>
  </si>
  <si>
    <t xml:space="preserve">Marque, modèle, puissance, débit</t>
  </si>
  <si>
    <t xml:space="preserve">PIS-04</t>
  </si>
  <si>
    <t xml:space="preserve">Electrolyseur au sel</t>
  </si>
  <si>
    <t xml:space="preserve">Contrôle de la cellule mensuel ; détartrage annuel</t>
  </si>
  <si>
    <t xml:space="preserve">0-40 EUR</t>
  </si>
  <si>
    <t xml:space="preserve">Cellule entartrée = production de chlore nulle</t>
  </si>
  <si>
    <t xml:space="preserve">Sur le coffret de commande</t>
  </si>
  <si>
    <t xml:space="preserve">Marque, modèle, capacité (m3)</t>
  </si>
  <si>
    <t xml:space="preserve">PIS-05</t>
  </si>
  <si>
    <t xml:space="preserve">Pompe à chaleur de piscine</t>
  </si>
  <si>
    <t xml:space="preserve">Échangeur entartré, fuite de fluide frigorigene</t>
  </si>
  <si>
    <t xml:space="preserve">Flanc de l'appareil</t>
  </si>
  <si>
    <t xml:space="preserve">PIS-06</t>
  </si>
  <si>
    <t xml:space="preserve">Robot de piscine</t>
  </si>
  <si>
    <t xml:space="preserve">Rinçage et filtre après chaque usage ; brosses annuelles</t>
  </si>
  <si>
    <t xml:space="preserve">30-80 EUR</t>
  </si>
  <si>
    <t xml:space="preserve">Moteur encrassé, courroies rompues</t>
  </si>
  <si>
    <t xml:space="preserve">Sous le robot ou sur le boîtier d'alimentation</t>
  </si>
  <si>
    <t xml:space="preserve">PIS-07</t>
  </si>
  <si>
    <t xml:space="preserve">Alarme de piscine</t>
  </si>
  <si>
    <t xml:space="preserve">Norme NF P90-307 ; obligatoire des lors que l'alarme est le dispositif de sécurité retenu</t>
  </si>
  <si>
    <t xml:space="preserve">Test mensuel ; pile annuelle</t>
  </si>
  <si>
    <t xml:space="preserve">Attestation de conformité</t>
  </si>
  <si>
    <t xml:space="preserve">Dispositif réglementaire inopérant = responsabilité pénale</t>
  </si>
  <si>
    <t xml:space="preserve">Marque, modèle, norme NF P90-307</t>
  </si>
  <si>
    <t xml:space="preserve">La mention de la norme prouve la conformité du dispositif</t>
  </si>
  <si>
    <t xml:space="preserve">PIS-08</t>
  </si>
  <si>
    <t xml:space="preserve">Spa / jacuzzi</t>
  </si>
  <si>
    <t xml:space="preserve">Filtres mensuels ; vidange tous les 3 mois ; détartrage annuel</t>
  </si>
  <si>
    <t xml:space="preserve">50-150 EUR</t>
  </si>
  <si>
    <t xml:space="preserve">Legionelle, biofilm dans les canalisations</t>
  </si>
  <si>
    <t xml:space="preserve">Sur le coffret électrique ou le flanc de la cuve</t>
  </si>
  <si>
    <t xml:space="preserve">JAR-01</t>
  </si>
  <si>
    <t xml:space="preserve">Jardin</t>
  </si>
  <si>
    <t xml:space="preserve">Tondeuse thermique</t>
  </si>
  <si>
    <t xml:space="preserve">Vidange, bougie, filtre à air et affûtage annuels</t>
  </si>
  <si>
    <t xml:space="preserve">30-60 EUR</t>
  </si>
  <si>
    <t xml:space="preserve">Moteur grippé, coupe qui arraché l'herbe</t>
  </si>
  <si>
    <t xml:space="preserve">Sur le carter ou le moteur</t>
  </si>
  <si>
    <t xml:space="preserve">Marque, modèle, n. de série, cylindrée</t>
  </si>
  <si>
    <t xml:space="preserve">Le modèle de moteur donne les références de bougie et de filtre</t>
  </si>
  <si>
    <t xml:space="preserve">JAR-02</t>
  </si>
  <si>
    <t xml:space="preserve">Robot tondeuse</t>
  </si>
  <si>
    <t xml:space="preserve">Lames tous les 2-3 mois ; hivernage ; batterie tous les 3-5 ans</t>
  </si>
  <si>
    <t xml:space="preserve">Lames émoussées = surconsommation et pelouse abîmée</t>
  </si>
  <si>
    <t xml:space="preserve">Sous le robot</t>
  </si>
  <si>
    <t xml:space="preserve">JAR-03</t>
  </si>
  <si>
    <t xml:space="preserve">Taille-haie / debroussailleuse</t>
  </si>
  <si>
    <t xml:space="preserve">Affûtage, filtre à air et graissage annuels</t>
  </si>
  <si>
    <t xml:space="preserve">Lames grippées, moteur noyé au redémarrage</t>
  </si>
  <si>
    <t xml:space="preserve">Sur le corps de l'appareil</t>
  </si>
  <si>
    <t xml:space="preserve">JAR-04</t>
  </si>
  <si>
    <t xml:space="preserve">Nettoyeur haute pression</t>
  </si>
  <si>
    <t xml:space="preserve">Filtre après usage ; hivernage avec antigel</t>
  </si>
  <si>
    <t xml:space="preserve">Pompe fendue par le gel : appareil perdu</t>
  </si>
  <si>
    <t xml:space="preserve">Sur le flanc</t>
  </si>
  <si>
    <t xml:space="preserve">Marque, modèle, pression, débit</t>
  </si>
  <si>
    <t xml:space="preserve">JAR-05</t>
  </si>
  <si>
    <t xml:space="preserve">Arrosage automatique</t>
  </si>
  <si>
    <t xml:space="preserve">Contrôle des goutteurs au printemps ; purge hivernale</t>
  </si>
  <si>
    <t xml:space="preserve">Canalisations éclatées par le gel</t>
  </si>
  <si>
    <t xml:space="preserve">Sur le programmateur</t>
  </si>
  <si>
    <t xml:space="preserve">JAR-06</t>
  </si>
  <si>
    <t xml:space="preserve">Barbecue / plancha gaz</t>
  </si>
  <si>
    <t xml:space="preserve">Brûleurs annuels ; contrôle du flexible (date de péremption)</t>
  </si>
  <si>
    <t xml:space="preserve">Fuite de gaz, retour de flamme</t>
  </si>
  <si>
    <t xml:space="preserve">Sous la cuve ou sur le chariot</t>
  </si>
  <si>
    <t xml:space="preserve">Photographier aussi la date imprimée sur le flexible</t>
  </si>
  <si>
    <t xml:space="preserve">JAR-07</t>
  </si>
  <si>
    <t xml:space="preserve">Abri / cabane de jardin</t>
  </si>
  <si>
    <t xml:space="preserve">Traitement du bois tous les 2-3 ans</t>
  </si>
  <si>
    <t xml:space="preserve">40-80 EUR</t>
  </si>
  <si>
    <t xml:space="preserve">Pourrissement des lisses basses, toiture percée</t>
  </si>
  <si>
    <t xml:space="preserve">BAT-01</t>
  </si>
  <si>
    <t xml:space="preserve">Bati</t>
  </si>
  <si>
    <t xml:space="preserve">Toiture</t>
  </si>
  <si>
    <t xml:space="preserve">40-70 ans</t>
  </si>
  <si>
    <t xml:space="preserve">Contrôle visuel annuel ; demoussage tous les 5-10 ans</t>
  </si>
  <si>
    <t xml:space="preserve">400-1200 EUR</t>
  </si>
  <si>
    <t xml:space="preserve">Infiltration = charpente et isolation à reprendre</t>
  </si>
  <si>
    <t xml:space="preserve">Facture du dernier demoussage ou de la dernière réparation</t>
  </si>
  <si>
    <t xml:space="preserve">BAT-02</t>
  </si>
  <si>
    <t xml:space="preserve">Gouttières et descentes</t>
  </si>
  <si>
    <t xml:space="preserve">Nettoyage 2 fois par an (automne et printemps)</t>
  </si>
  <si>
    <t xml:space="preserve">0-200 EUR</t>
  </si>
  <si>
    <t xml:space="preserve">Débordement, infiltration en pied de mur, humidité ascensionnelle</t>
  </si>
  <si>
    <t xml:space="preserve">BAT-03</t>
  </si>
  <si>
    <t xml:space="preserve">Façade / enduit</t>
  </si>
  <si>
    <t xml:space="preserve">Art. L132-1 CCH : ravalement imposable par arrêté municipal (souvent tous les 10 ans)</t>
  </si>
  <si>
    <t xml:space="preserve">Contrôle annuel ; ravalement tous les 10-15 ans</t>
  </si>
  <si>
    <t xml:space="preserve">Facture de ravalement</t>
  </si>
  <si>
    <t xml:space="preserve">Injonction municipale, exécution d'office aux frais du propriétaire</t>
  </si>
  <si>
    <t xml:space="preserve">Facture du dernier ravalement</t>
  </si>
  <si>
    <t xml:space="preserve">BAT-04</t>
  </si>
  <si>
    <t xml:space="preserve">Terrasse bois</t>
  </si>
  <si>
    <t xml:space="preserve">Nettoyage et saturateur annuels</t>
  </si>
  <si>
    <t xml:space="preserve">40-100 EUR</t>
  </si>
  <si>
    <t xml:space="preserve">Grisaillement, échardes, lames fendues</t>
  </si>
  <si>
    <t xml:space="preserve">BAT-05</t>
  </si>
  <si>
    <t xml:space="preserve">Charpente</t>
  </si>
  <si>
    <t xml:space="preserve">80-100 ans</t>
  </si>
  <si>
    <t xml:space="preserve">Contrôle termites et insectes xylophages tous les 3-5 ans</t>
  </si>
  <si>
    <t xml:space="preserve">Diagnostic</t>
  </si>
  <si>
    <t xml:space="preserve">Attaque non détectée = reprise structurelle très lourde</t>
  </si>
  <si>
    <t xml:space="preserve">Dernier diagnostic termites ou traitement</t>
  </si>
  <si>
    <t xml:space="preserve">BAT-06</t>
  </si>
  <si>
    <t xml:space="preserve">Combles et isolation</t>
  </si>
  <si>
    <t xml:space="preserve">Contrôle annuel : humidité, tassement, nuisibles</t>
  </si>
  <si>
    <t xml:space="preserve">Isolant tassé ou humide = performance divisée par deux</t>
  </si>
  <si>
    <t xml:space="preserve">BAT-07</t>
  </si>
  <si>
    <t xml:space="preserve">Vide sanitaire / cave</t>
  </si>
  <si>
    <t xml:space="preserve">Contrôle de l'humidité et de la ventilation annuel</t>
  </si>
  <si>
    <t xml:space="preserve">Remontées capillaires, salpêtre, planchers dégradés</t>
  </si>
  <si>
    <t xml:space="preserve">VEH-01</t>
  </si>
  <si>
    <t xml:space="preserve">Voiture (thermique, hybride ou électrique)</t>
  </si>
  <si>
    <t xml:space="preserve">Code de la route art. R323-1 et suivants</t>
  </si>
  <si>
    <t xml:space="preserve">1er contrôle dans les 6 mois précédant le 4e anniversaire, puis tous les 2 ans</t>
  </si>
  <si>
    <t xml:space="preserve">Centre de contrôle agréé</t>
  </si>
  <si>
    <t xml:space="preserve">Procès-verbal de contrôle technique</t>
  </si>
  <si>
    <t xml:space="preserve">70-90 EUR</t>
  </si>
  <si>
    <t xml:space="preserve">Amende de 135 EUR, immobilisation possible, difficultés avec l'assureur après un sinistre</t>
  </si>
  <si>
    <t xml:space="preserve">Certificat d'immatriculation (carte grise)</t>
  </si>
  <si>
    <t xml:space="preserve">Date de première immatriculation (champ B), marque, modèle, immatriculation</t>
  </si>
  <si>
    <t xml:space="preserve">La photo suffit à calculer l'échéance du contrôle technique. Ne conserver que ces champs : la carte grise porte nom et adresse</t>
  </si>
  <si>
    <t xml:space="preserve">VEH-02</t>
  </si>
  <si>
    <t xml:space="preserve">Deux-roues, trois-roues ou quadricycle motorisé (moto, scooter)</t>
  </si>
  <si>
    <t xml:space="preserve">Décret n. 2023-974 et arrêté du 23/10/2023</t>
  </si>
  <si>
    <t xml:space="preserve">1er contrôle entre 4,5 et 5 ans après la 1re immatriculation, puis tous les 3 ans (calendrier transitoire avant 2022)</t>
  </si>
  <si>
    <t xml:space="preserve">Centre de contrôle agréé catégorie L</t>
  </si>
  <si>
    <t xml:space="preserve">50-70 EUR</t>
  </si>
  <si>
    <t xml:space="preserve">Amende de 135 EUR</t>
  </si>
  <si>
    <t xml:space="preserve">Idem voiture : l'échéance du contrôle technique se calcule depuis le champ B</t>
  </si>
  <si>
    <t xml:space="preserve">VEH-03</t>
  </si>
  <si>
    <t xml:space="preserve">Vélo à assistance électrique</t>
  </si>
  <si>
    <t xml:space="preserve">8-12 ans (batterie 4-6 ans)</t>
  </si>
  <si>
    <t xml:space="preserve">Révision annuelle recommandée</t>
  </si>
  <si>
    <t xml:space="preserve">Particulier ou réparateur vélo</t>
  </si>
  <si>
    <t xml:space="preserve">Facture d'entretien</t>
  </si>
  <si>
    <t xml:space="preserve">60-100 EUR</t>
  </si>
  <si>
    <t xml:space="preserve">Freinage dégradé, transmission usée, batterie abîmée par un stockage à plat ou à pleine charge</t>
  </si>
  <si>
    <t xml:space="preserve">Numéro de cadre gravé sous le pédalier ; étiquette sur le boîtier de la batterie</t>
  </si>
  <si>
    <t xml:space="preserve">Marque, modèle, numéro de cadre, capacité de la batterie (Wh)</t>
  </si>
  <si>
    <t xml:space="preserve">Le numéro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</si>
  <si>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</si>
  <si>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</si>
  <si>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</si>
  <si>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</si>
  <si>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</si>
  <si>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</si>
  <si>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</si>
  <si>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</si>
  <si>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</si>
  <si>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</si>
  <si>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</si>
  <si>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</si>
  <si>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</si>
  <si>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Niveau d'entretien</t>
  </si>
  <si>
    <t xml:space="preserve">Temps actif (min)</t>
  </si>
  <si>
    <t xml:space="preserve">T-001</t>
  </si>
  <si>
    <t xml:space="preserve">Entretien annuel par un professionnel</t>
  </si>
  <si>
    <t xml:space="preserve">Tous les 12 mois</t>
  </si>
  <si>
    <t xml:space="preserve">Août à octobre (avant la chauffe)</t>
  </si>
  <si>
    <t xml:space="preserve">Prestataire qualifié PG</t>
  </si>
  <si>
    <t xml:space="preserve">Prendre rendez-vous hors pic saisonnier. Le technicien contrôle le corps de chauffe, le brûleur, les organes de sécurité, mesure le taux de CO et le rendement. Récupérer l'attestation sous 15 jours et l'archiver.</t>
  </si>
  <si>
    <t xml:space="preserve">Obligation légale non respectée, risque de CO, refus de prise en charge par l'assurance</t>
  </si>
  <si>
    <t xml:space="preserve">Obligation</t>
  </si>
  <si>
    <t xml:space="preserve">T-002</t>
  </si>
  <si>
    <t xml:space="preserve">Contrôle de la pression du circuit</t>
  </si>
  <si>
    <t xml:space="preserve">DIY</t>
  </si>
  <si>
    <t xml:space="preserve">Tous les mois</t>
  </si>
  <si>
    <t xml:space="preserve">Toute l'année</t>
  </si>
  <si>
    <t xml:space="preserve">Aucun (manomètre intégré)</t>
  </si>
  <si>
    <t xml:space="preserve">Lire le manomètre à froid. Entre 1 et 1,5 bar en général. Si en dessous, ouvrir la vanne de remplissage jusqu'à 1,2 bar puis refermer. Si la pression rechute chaque semaine, il y a une fuite : appeler un professionnel.</t>
  </si>
  <si>
    <t xml:space="preserve">Mise en sécurité de la chaudière, arrêt du chauffage</t>
  </si>
  <si>
    <t xml:space="preserve">Essentiel</t>
  </si>
  <si>
    <t xml:space="preserve">T-003</t>
  </si>
  <si>
    <t xml:space="preserve">Purge du circulateur et vérification du vase d'expansion</t>
  </si>
  <si>
    <t xml:space="preserve">Pendant l'entretien annuel</t>
  </si>
  <si>
    <t xml:space="preserve">Manomètre, pompe à vélo</t>
  </si>
  <si>
    <t xml:space="preserve">À faire réaliser lors de l'entretien : contrôle de la pression de gonflage du vase (généralement 0,8 à 1 bar, circuit vide) et purge du circulateur.</t>
  </si>
  <si>
    <t xml:space="preserve">Vase crevé = variations de pression permanentes et fatigue du circuit</t>
  </si>
  <si>
    <t xml:space="preserve">Recommande</t>
  </si>
  <si>
    <t xml:space="preserve">T-004</t>
  </si>
  <si>
    <t xml:space="preserve">Entretien annuel chaudière fioul</t>
  </si>
  <si>
    <t xml:space="preserve">Août à octobre</t>
  </si>
  <si>
    <t xml:space="preserve">Prestataire qualifié</t>
  </si>
  <si>
    <t xml:space="preserve">Nettoyage du corps de chauffe et de la buse, remplacement du gicleur et du filtre fioul, réglage de la combustion avec analyseur, mesure de l'indice de noircissement. Attestation à archiver.</t>
  </si>
  <si>
    <t xml:space="preserve">Brûleur encrassé, surconsommation, panne en plein hiver</t>
  </si>
  <si>
    <t xml:space="preserve">T-005</t>
  </si>
  <si>
    <t xml:space="preserve">Relevé du niveau de la cuve et commande anticipée</t>
  </si>
  <si>
    <t xml:space="preserve">Octobre à mars</t>
  </si>
  <si>
    <t xml:space="preserve">Jauge</t>
  </si>
  <si>
    <t xml:space="preserve">Relever le niveau. Commander dès que la cuve descend sous 25% : les délais et les prix montent fortement en pleine saison de chauffe.</t>
  </si>
  <si>
    <t xml:space="preserve">Panne sèche, aspiration des boues de fond de cuve</t>
  </si>
  <si>
    <t xml:space="preserve">T-006</t>
  </si>
  <si>
    <t xml:space="preserve">Entretien annuel chaudière bois / granules</t>
  </si>
  <si>
    <t xml:space="preserve">Août à septembre</t>
  </si>
  <si>
    <t xml:space="preserve">Nettoyage complet de l'échangeur, du foyer et du système d'extraction des cendres, contrôle des sondes et de la vis sans fin, réglage de la combustion.</t>
  </si>
  <si>
    <t xml:space="preserve">Perte de rendement, blocage de la vis d'alimentation</t>
  </si>
  <si>
    <t xml:space="preserve">T-007</t>
  </si>
  <si>
    <t xml:space="preserve">Vidage du cendrier</t>
  </si>
  <si>
    <t xml:space="preserve">Toutes les 2 à 6 semaines selon usage</t>
  </si>
  <si>
    <t xml:space="preserve">Octobre à avril</t>
  </si>
  <si>
    <t xml:space="preserve">Aspirateur à cendres</t>
  </si>
  <si>
    <t xml:space="preserve">Laisser refroidir complètement. Aspirer avec un aspirateur à cendres uniquement (jamais un aspirateur domestique). Vérifier que le cendrier est bien reclipse.</t>
  </si>
  <si>
    <t xml:space="preserve">Débordement dans le foyer, combustion dégradée</t>
  </si>
  <si>
    <t xml:space="preserve">T-008</t>
  </si>
  <si>
    <t xml:space="preserve">Nettoyage du creuset et de la vitre</t>
  </si>
  <si>
    <t xml:space="preserve">Toutes les semaines en saison</t>
  </si>
  <si>
    <t xml:space="preserve">Aspirateur à cendres, grattoir, chiffon</t>
  </si>
  <si>
    <t xml:space="preserve">Appareil froid. Retirer le creuset, gratter les trous d'arrivée d'air un par un, aspirer le logement. Nettoyer la vitre avec de la cendre humide sur du papier journal.</t>
  </si>
  <si>
    <t xml:space="preserve">Trous obstrués = mauvaise combustion, extinction, code d'erreur</t>
  </si>
  <si>
    <t xml:space="preserve">T-009</t>
  </si>
  <si>
    <t xml:space="preserve">Nettoyage de l'échangeur et des conduits internes</t>
  </si>
  <si>
    <t xml:space="preserve">Tous les mois en saison</t>
  </si>
  <si>
    <t xml:space="preserve">Aspirateur à cendres, ecouvillon fourni</t>
  </si>
  <si>
    <t xml:space="preserve">Actionner les tringles de decendrage si l'appareil en dispose, ouvrir les trappes de ramonage internes et aspirer. Se référer à la notice pour l'emplacement exact des trappes.</t>
  </si>
  <si>
    <t xml:space="preserve">Échangeur encrassé = jusqu'à 20% de rendement perdu</t>
  </si>
  <si>
    <t xml:space="preserve">T-010</t>
  </si>
  <si>
    <t xml:space="preserve">Entretien annuel complet par un professionnel</t>
  </si>
  <si>
    <t xml:space="preserve">Démontage, nettoyage des ventilateurs et du bougeoir, contrôle des joints, de la sonde de température et du pressostat, mise à jour des paramètres de combustion.</t>
  </si>
  <si>
    <t xml:space="preserve">Obligation légale, usure prématurée, arrêt en pleine saison</t>
  </si>
  <si>
    <t xml:space="preserve">T-011</t>
  </si>
  <si>
    <t xml:space="preserve">Remplacement des joints de porte et de vitre</t>
  </si>
  <si>
    <t xml:space="preserve">Tous les 3 ans</t>
  </si>
  <si>
    <t xml:space="preserve">Hors saison</t>
  </si>
  <si>
    <t xml:space="preserve">Kit de joints, colle réfractaire</t>
  </si>
  <si>
    <t xml:space="preserve">À faire réaliser lors de l'entretien annuel. Test préalable : glisser une feuille de papier dans la porte fermée, si elle coulisse sans résistance, le joint est à changer.</t>
  </si>
  <si>
    <t xml:space="preserve">Entrée d'air parasite, combustion incontrôlée, surconsommation</t>
  </si>
  <si>
    <t xml:space="preserve">T-012</t>
  </si>
  <si>
    <t xml:space="preserve">Nettoyage de la vitre et du foyer</t>
  </si>
  <si>
    <t xml:space="preserve">Cendre, papier journal, aspirateur à cendres</t>
  </si>
  <si>
    <t xml:space="preserve">Laisser un lit de cendres de 2 à 3 cm au fond du foyer : il favorise la combustion. Nettoyer la vitre avec du papier journal humidifié trempé dans la cendre.</t>
  </si>
  <si>
    <t xml:space="preserve">Vitre opaque, mauvais tirage</t>
  </si>
  <si>
    <t xml:space="preserve">T-013</t>
  </si>
  <si>
    <t xml:space="preserve">Entretien annuel de l'appareil</t>
  </si>
  <si>
    <t xml:space="preserve">Contrôle des briques réfractaires, du déflecteur, des joints et du tirage. À coupler avec le ramonage pour une seule intervention.</t>
  </si>
  <si>
    <t xml:space="preserve">Déflecteur percé = chaleur perdue et conduit surchauffe</t>
  </si>
  <si>
    <t xml:space="preserve">T-014</t>
  </si>
  <si>
    <t xml:space="preserve">Ramonage mécanique du conduit</t>
  </si>
  <si>
    <t xml:space="preserve">1 fois par an minimum</t>
  </si>
  <si>
    <t xml:space="preserve">Août à septembre, ou février-mars</t>
  </si>
  <si>
    <t xml:space="preserve">Ramoneur qualifié</t>
  </si>
  <si>
    <t xml:space="preserve">Ramonage mécanique obligatoire (hérisson), le ramonage chimique ne vaut pas preuve. Exiger le certificat de ramonage et le conserver 5 ans : c'est la pièce que l'assureur réclame après un sinistre.</t>
  </si>
  <si>
    <t xml:space="preserve">Amende jusqu'à 450 EUR, refus d'indemnisation en cas de feu de cheminée</t>
  </si>
  <si>
    <t xml:space="preserve">T-015</t>
  </si>
  <si>
    <t xml:space="preserve">Second ramonage pour les gros consommateurs</t>
  </si>
  <si>
    <t xml:space="preserve">2e passage si &gt; 6 m3 de bois ou &gt; 2,5 t de granules par an</t>
  </si>
  <si>
    <t xml:space="preserve">Pendant la période de chauffe</t>
  </si>
  <si>
    <t xml:space="preserve">Vérifier sa consommation annuelle. Au-delà des seuils, un second ramonage est requis, dont un pendant la période d'utilisation. Certaines communes restent plus exigeantes : vérifier en mairie.</t>
  </si>
  <si>
    <t xml:space="preserve">Non-conformité, bistre accumulé, risque de feu de conduit</t>
  </si>
  <si>
    <t xml:space="preserve">T-016</t>
  </si>
  <si>
    <t xml:space="preserve">Ramonage du conduit de cheminée ouverte</t>
  </si>
  <si>
    <t xml:space="preserve">Avant la saison de chauffe</t>
  </si>
  <si>
    <t xml:space="preserve">Même obligation que pour un foyer fermé. Le foyer ouvert lui-même est dispensé d'entretien réglementaire mais doit être maintenu propre et en bon état.</t>
  </si>
  <si>
    <t xml:space="preserve">T-017</t>
  </si>
  <si>
    <t xml:space="preserve">Entretien biennal de la PAC</t>
  </si>
  <si>
    <t xml:space="preserve">Printemps ou automne</t>
  </si>
  <si>
    <t xml:space="preserve">Contrôle de l'étanchéité du circuit frigorifique, des pressions, du dégivrage, nettoyage de l'échangeur, contrôle du circulateur et de la régulation. Attestation à archiver.</t>
  </si>
  <si>
    <t xml:space="preserve">Obligation légale, perte de COP, casse compresseur (3000 à 6000 EUR)</t>
  </si>
  <si>
    <t xml:space="preserve">T-018</t>
  </si>
  <si>
    <t xml:space="preserve">Nettoyage de l'unité extérieure</t>
  </si>
  <si>
    <t xml:space="preserve">Avril et octobre</t>
  </si>
  <si>
    <t xml:space="preserve">Brosse souple, jet d'eau basse pression</t>
  </si>
  <si>
    <t xml:space="preserve">Couper l'alimentation. Retirer feuilles et débris autour de l'unité, brosser délicatement les ailettes dans le sens des lamelles. Dégager 50 cm tout autour. Ne jamais utiliser de nettoyeur haute pression.</t>
  </si>
  <si>
    <t xml:space="preserve">Échangeur obstrué = perte de rendement et degivrages à répétition</t>
  </si>
  <si>
    <t xml:space="preserve">T-019</t>
  </si>
  <si>
    <t xml:space="preserve">Contrôle du dégagement hivernal et de l'évacuation des condensats</t>
  </si>
  <si>
    <t xml:space="preserve">Tous les ans</t>
  </si>
  <si>
    <t xml:space="preserve">Novembre</t>
  </si>
  <si>
    <t xml:space="preserve">Aucun</t>
  </si>
  <si>
    <t xml:space="preserve">Vérifier que l'évacuation des condensats sous l'unité n'est pas obstruée et que l'unité n'est pas posée dans une cuvette qui gèle. Surélever si nécessaire.</t>
  </si>
  <si>
    <t xml:space="preserve">Bac de dégivrage pris en glace, ventilateur bloqué</t>
  </si>
  <si>
    <t xml:space="preserve">T-020</t>
  </si>
  <si>
    <t xml:space="preserve">Nettoyage des filtres des unités intérieures</t>
  </si>
  <si>
    <t xml:space="preserve">Tous les mois en saison d'usage</t>
  </si>
  <si>
    <t xml:space="preserve">Eau tiède savonneuse</t>
  </si>
  <si>
    <t xml:space="preserve">Ouvrir la façade, retirer les filtres, laver à l'eau tiède, sécher complètement à l'ombre avant remontage. Un filtre remonté humide devient un nid à moisissures.</t>
  </si>
  <si>
    <t xml:space="preserve">Débit d'air réduit, odeurs, allergenes diffusés dans le logement</t>
  </si>
  <si>
    <t xml:space="preserve">T-021</t>
  </si>
  <si>
    <t xml:space="preserve">Entretien biennal du système</t>
  </si>
  <si>
    <t xml:space="preserve">Printemps</t>
  </si>
  <si>
    <t xml:space="preserve">Contrôle d'étanchéité, désinfection de l'échangeur intérieur, contrôle des pressions et du bac à condensats.</t>
  </si>
  <si>
    <t xml:space="preserve">Obligation légale, fuite de fluide frigorigene à fort pouvoir réchauffant</t>
  </si>
  <si>
    <t xml:space="preserve">T-022</t>
  </si>
  <si>
    <t xml:space="preserve">Purge des radiateurs</t>
  </si>
  <si>
    <t xml:space="preserve">Septembre ou octobre</t>
  </si>
  <si>
    <t xml:space="preserve">Clé de purge, chiffon, récipient</t>
  </si>
  <si>
    <t xml:space="preserve">Chauffage en marche puis coupé 1 h avant. Commencer par le radiateur le plus bas et le plus proche de la chaudière, finir par le plus éloigné en étage. Ouvrir jusqu'à ce que l'eau coule sans bulles. Rétablir la pression à la fin.</t>
  </si>
  <si>
    <t xml:space="preserve">Radiateurs froids en partie haute, gargouillis, surconsommation</t>
  </si>
  <si>
    <t xml:space="preserve">T-023</t>
  </si>
  <si>
    <t xml:space="preserve">Dépoussiérage des radiateurs</t>
  </si>
  <si>
    <t xml:space="preserve">Septembre et mars</t>
  </si>
  <si>
    <t xml:space="preserve">Aspirateur, goupillon long</t>
  </si>
  <si>
    <t xml:space="preserve">Aspirer les ailettes par le dessus et passer un goupillon entre les lames. La poussière agit comme un isolant sur la surface d'échange.</t>
  </si>
  <si>
    <t xml:space="preserve">Jusqu'à 10% de rendement perdu</t>
  </si>
  <si>
    <t xml:space="preserve">T-024</t>
  </si>
  <si>
    <t xml:space="preserve">Desembouage du circuit</t>
  </si>
  <si>
    <t xml:space="preserve">Tous les 8 à 10 ans</t>
  </si>
  <si>
    <t xml:space="preserve">Hors saison de chauffe</t>
  </si>
  <si>
    <t xml:space="preserve">Prestataire spécialisé</t>
  </si>
  <si>
    <t xml:space="preserve">Injection d'un desembouant, circulation, rinçage et repose d'un inhibiteur de corrosion. Recommande d'installer un pot à boues magnétique à cette occasion.</t>
  </si>
  <si>
    <t xml:space="preserve">Boues = circulateur qui casse, échangeur bouché, jusqu'à 15% de rendement perdu</t>
  </si>
  <si>
    <t xml:space="preserve">T-025</t>
  </si>
  <si>
    <t xml:space="preserve">Dépoussiérage des convecteurs électriques</t>
  </si>
  <si>
    <t xml:space="preserve">Septembre</t>
  </si>
  <si>
    <t xml:space="preserve">Aspirateur, brosse</t>
  </si>
  <si>
    <t xml:space="preserve">Appareil éteint et froid. Aspirer les grilles hautes et basses. Ne jamais poser de linge à sécher dessus.</t>
  </si>
  <si>
    <t xml:space="preserve">Odeur de brûlé à la remise en route, risque d'incendie</t>
  </si>
  <si>
    <t xml:space="preserve">T-026</t>
  </si>
  <si>
    <t xml:space="preserve">Contrôle et nettoyage de la cuve à fioul</t>
  </si>
  <si>
    <t xml:space="preserve">Tous les 5 à 10 ans</t>
  </si>
  <si>
    <t xml:space="preserve">Cuve presque vide</t>
  </si>
  <si>
    <t xml:space="preserve">Prestataire agréé</t>
  </si>
  <si>
    <t xml:space="preserve">Pompage des boues de fond, contrôle de l'étanchéité et de la cuvette de rétention, vérification de l'event et de la jauge.</t>
  </si>
  <si>
    <t xml:space="preserve">Fuite = depollution des sols à la charge du propriétaire (plusieurs dizaines de milliers d'euros)</t>
  </si>
  <si>
    <t xml:space="preserve">T-027</t>
  </si>
  <si>
    <t xml:space="preserve">Manœuvre du groupe de sécurité</t>
  </si>
  <si>
    <t xml:space="preserve">Tourner la manette du groupe de sécurité en position vidange quelques secondes jusqu'à ce que l'eau coule franchement, puis refermer. Cela évite que le clapet ne se bloque par le calcaire.</t>
  </si>
  <si>
    <t xml:space="preserve">Groupe grippé = surpression et risque d'éclatement du ballon</t>
  </si>
  <si>
    <t xml:space="preserve">T-028</t>
  </si>
  <si>
    <t xml:space="preserve">Détartrage et contrôle de l'anode magnésium</t>
  </si>
  <si>
    <t xml:space="preserve">Tous les 2 ans (annuel en eau très dure)</t>
  </si>
  <si>
    <t xml:space="preserve">Hors période de forte demande</t>
  </si>
  <si>
    <t xml:space="preserve">Plombier</t>
  </si>
  <si>
    <t xml:space="preserve">Vidange du ballon, démontage de la platine, détartrage de la résistance et de la cuve, contrôle et remplacement de l'anode si elle est consommée à plus de 50%, remplacement du joint de bride.</t>
  </si>
  <si>
    <t xml:space="preserve">Anode consommée = cuve percée et remplacement complet (800 à 1500 EUR)</t>
  </si>
  <si>
    <t xml:space="preserve">T-029</t>
  </si>
  <si>
    <t xml:space="preserve">Réglage de la température de consigne</t>
  </si>
  <si>
    <t xml:space="preserve">À la mise en service</t>
  </si>
  <si>
    <t xml:space="preserve">Tournevis</t>
  </si>
  <si>
    <t xml:space="preserve">Régler entre 55 et 60 degrés : en dessous, risque de legionelle ; au-dessus, entartrage accéléré et brûlures.</t>
  </si>
  <si>
    <t xml:space="preserve">Risque sanitaire ou entartrage prématuré</t>
  </si>
  <si>
    <t xml:space="preserve">T-030</t>
  </si>
  <si>
    <t xml:space="preserve">Entretien biennal du chauffe-eau thermodynamique</t>
  </si>
  <si>
    <t xml:space="preserve">Nettoyage de l'evaporateur et du filtre d'air, contrôle du circuit frigorifique, de l'anode et des condensats.</t>
  </si>
  <si>
    <t xml:space="preserve">Obligation légale, bascule permanente sur la résistance électrique d'appoint</t>
  </si>
  <si>
    <t xml:space="preserve">T-031</t>
  </si>
  <si>
    <t xml:space="preserve">Nettoyage du filtre à air</t>
  </si>
  <si>
    <t xml:space="preserve">Tous les 3 mois</t>
  </si>
  <si>
    <t xml:space="preserve">Aspirateur, eau tiède</t>
  </si>
  <si>
    <t xml:space="preserve">Retirer le filtre à l'arrière ou au-dessus de l'appareil, aspirer puis rincer, sécher avant remontage.</t>
  </si>
  <si>
    <t xml:space="preserve">COP dégradé, appareil qui fonctionne en mode électrique pur</t>
  </si>
  <si>
    <t xml:space="preserve">T-032</t>
  </si>
  <si>
    <t xml:space="preserve">Contrôle du circuit solaire</t>
  </si>
  <si>
    <t xml:space="preserve">Contrôle du pH et du point de congélation du glycol, de la pression du circuit primaire, de l'état du vase d'expansion et de la sonde capteur.</t>
  </si>
  <si>
    <t xml:space="preserve">Glycol acidifie = corrosion des capteurs et du ballon</t>
  </si>
  <si>
    <t xml:space="preserve">T-033</t>
  </si>
  <si>
    <t xml:space="preserve">Remplissage du bac à sel</t>
  </si>
  <si>
    <t xml:space="preserve">Sacs de sel pastilles</t>
  </si>
  <si>
    <t xml:space="preserve">Maintenir le niveau de sel au-dessus du niveau d'eau. Vérifier l'absence de croûte de sel agglomérée au fond : la casser si besoin.</t>
  </si>
  <si>
    <t xml:space="preserve">Pont de sel = adoucisseur inopérant sans alerte</t>
  </si>
  <si>
    <t xml:space="preserve">T-034</t>
  </si>
  <si>
    <t xml:space="preserve">Désinfection de l'adoucisseur et contrôle de la dureté</t>
  </si>
  <si>
    <t xml:space="preserve">Désinfectant pour résine, bandelettes de test</t>
  </si>
  <si>
    <t xml:space="preserve">Lancer un cycle de désinfection selon la notice. Mesurer la dureté en sortie avec les bandelettes : viser 8 à 12 degrés français, pas 0.</t>
  </si>
  <si>
    <t xml:space="preserve">Prolifération bactérienne dans la résine, eau trop douce et corrosive pour les canalisations</t>
  </si>
  <si>
    <t xml:space="preserve">T-035</t>
  </si>
  <si>
    <t xml:space="preserve">Nettoyage des bouches d'extraction</t>
  </si>
  <si>
    <t xml:space="preserve">Eau savonneuse, brosse</t>
  </si>
  <si>
    <t xml:space="preserve">Déposer les bouches en les dévissant, les faire tremper dans de l'eau chaude savonneuse, brosser, sécher. Repérer leur position d'origine : les bouches de cuisine et de salle de bains ne sont pas interchangeables.</t>
  </si>
  <si>
    <t xml:space="preserve">Condensation, moisissures dans les pièces humides</t>
  </si>
  <si>
    <t xml:space="preserve">T-036</t>
  </si>
  <si>
    <t xml:space="preserve">Nettoyage du caisson et contrôle du moteur</t>
  </si>
  <si>
    <t xml:space="preserve">Hors hiver</t>
  </si>
  <si>
    <t xml:space="preserve">Pro ou particulier bricoleur</t>
  </si>
  <si>
    <t xml:space="preserve">Couper l'alimentation. Dépoussiérer la turbine et le caisson, contrôler les fixations et l'état des gaines souples (écrasement, percements).</t>
  </si>
  <si>
    <t xml:space="preserve">Turbine déséquilibrée, bruit, débit effondré</t>
  </si>
  <si>
    <t xml:space="preserve">T-037</t>
  </si>
  <si>
    <t xml:space="preserve">Remplacement des filtres de la VMC double flux</t>
  </si>
  <si>
    <t xml:space="preserve">Tous les 3 à 6 mois</t>
  </si>
  <si>
    <t xml:space="preserve">Jeu de filtres (G4 et F7 en général)</t>
  </si>
  <si>
    <t xml:space="preserve">Couper la centrale. Noter la date au feutre sur le filtre neuf. En zone pollinique ou proche d'un axe routier, passer à 3 mois.</t>
  </si>
  <si>
    <t xml:space="preserve">Filtres saturés = débit nul, rendement de récupération perdu, surconsommation du moteur</t>
  </si>
  <si>
    <t xml:space="preserve">T-038</t>
  </si>
  <si>
    <t xml:space="preserve">Nettoyage de l'échangeur et du bac à condensats</t>
  </si>
  <si>
    <t xml:space="preserve">Été</t>
  </si>
  <si>
    <t xml:space="preserve">Extraire le bloc échangeur, le rincer à l'eau tiède, le laisser sécher. Vérifier que le siphon de condensats est amorcé et non bouché.</t>
  </si>
  <si>
    <t xml:space="preserve">Échangeur colmaté, eau stagnante, odeurs diffusées dans tout le logement</t>
  </si>
  <si>
    <t xml:space="preserve">T-039</t>
  </si>
  <si>
    <t xml:space="preserve">Nettoyage du filtre à graisse de la hotte</t>
  </si>
  <si>
    <t xml:space="preserve">Lave-vaisselle ou eau très chaude + bicarbonate</t>
  </si>
  <si>
    <t xml:space="preserve">Les filtres métalliques passent au lave-vaisselle en cycle intensif. Bien sécher avant remontage.</t>
  </si>
  <si>
    <t xml:space="preserve">Accumulation de graisse = cause fréquente de départ de feu en cuisine</t>
  </si>
  <si>
    <t xml:space="preserve">T-040</t>
  </si>
  <si>
    <t xml:space="preserve">Remplacement du filtre à charbon</t>
  </si>
  <si>
    <t xml:space="preserve">Tous les 6 mois (hotte recyclante)</t>
  </si>
  <si>
    <t xml:space="preserve">Filtre à charbon compatible</t>
  </si>
  <si>
    <t xml:space="preserve">Uniquement pour les hottes recyclantes (sans évacuation extérieure). Le charbon ne se lave pas, il se remplace.</t>
  </si>
  <si>
    <t xml:space="preserve">Odeurs de cuisine qui stagnent dans tout le logement</t>
  </si>
  <si>
    <t xml:space="preserve">T-041</t>
  </si>
  <si>
    <t xml:space="preserve">Nettoyage des entrées d'air des fenêtres</t>
  </si>
  <si>
    <t xml:space="preserve">Aspirateur, chiffon humide</t>
  </si>
  <si>
    <t xml:space="preserve">Déposer le capot des reglettes en haut des fenêtres, aspirer, essuyer. Ne jamais les obturer, même en hiver.</t>
  </si>
  <si>
    <t xml:space="preserve">Sans air neuf entrant, la VMC n'extrait rien et les appareils à combustion tirent mal</t>
  </si>
  <si>
    <t xml:space="preserve">T-042</t>
  </si>
  <si>
    <t xml:space="preserve">Nettoyage de la grille du condenseur</t>
  </si>
  <si>
    <t xml:space="preserve">Aspirateur avec brosse, goupillon</t>
  </si>
  <si>
    <t xml:space="preserve">Débrancher l'appareil, l'écarter du mur, aspirer la grille noire à l'arrière ou la grille basse selon le modèle. Laisser 5 cm de dégagement à l'arrière.</t>
  </si>
  <si>
    <t xml:space="preserve">Condenseur empoussiere = jusqu'à 25% de surconsommation et compresseur en surchauffe</t>
  </si>
  <si>
    <t xml:space="preserve">T-043</t>
  </si>
  <si>
    <t xml:space="preserve">Contrôle et nettoyage des joints de porte</t>
  </si>
  <si>
    <t xml:space="preserve">Eau savonneuse, coton-tige, feuille de papier</t>
  </si>
  <si>
    <t xml:space="preserve">Nettoyer la gorge du joint au coton-tige. Test : coincer une feuille de papier dans la porte fermée ; si elle glisse sans résistance, le joint est à remplacer.</t>
  </si>
  <si>
    <t xml:space="preserve">Joint usé = compresseur en marche permanente, givre, facture d'électricité en hausse</t>
  </si>
  <si>
    <t xml:space="preserve">T-044</t>
  </si>
  <si>
    <t xml:space="preserve">Debouchage de la gouttière d'évacuation</t>
  </si>
  <si>
    <t xml:space="preserve">Coton-tige, seringue d'eau tiède</t>
  </si>
  <si>
    <t xml:space="preserve">Localiser le petit orifice au fond de la paroi arrière du réfrigérateur. Le dégager délicatement et rincer à l'eau tiède.</t>
  </si>
  <si>
    <t xml:space="preserve">Eau stagnante dans le bac à légumes, odeurs, moisissures</t>
  </si>
  <si>
    <t xml:space="preserve">T-045</t>
  </si>
  <si>
    <t xml:space="preserve">Dégivrage du congélateur</t>
  </si>
  <si>
    <t xml:space="preserve">Tous les ans (ou des 3 mm de givre)</t>
  </si>
  <si>
    <t xml:space="preserve">Janvier ou avant les grosses courses</t>
  </si>
  <si>
    <t xml:space="preserve">Glacière, serpillières, bassine</t>
  </si>
  <si>
    <t xml:space="preserve">Transférer les denrées dans une glacière, débrancher, laisser fondre porte ouverte avec des serpillières au sol. Ne jamais gratter avec un objet métallique : perforer le circuit condamné l'appareil.</t>
  </si>
  <si>
    <t xml:space="preserve">3 mm de givre = environ 30% de surconsommation</t>
  </si>
  <si>
    <t xml:space="preserve">T-046</t>
  </si>
  <si>
    <t xml:space="preserve">Remplacement du filtre à eau</t>
  </si>
  <si>
    <t xml:space="preserve">Filtre d'origine compatible</t>
  </si>
  <si>
    <t xml:space="preserve">Localiser la cartouche (souvent en bas à droite ou dans le compartiment froid). Purger 2 à 3 litres après remplacement avant consommation.</t>
  </si>
  <si>
    <t xml:space="preserve">Goût désagréable, développement bactérien dans le circuit d'eau</t>
  </si>
  <si>
    <t xml:space="preserve">T-047</t>
  </si>
  <si>
    <t xml:space="preserve">Nettoyage du filtre de vidange</t>
  </si>
  <si>
    <t xml:space="preserve">Récipient plat, serpillière, chiffon</t>
  </si>
  <si>
    <t xml:space="preserve">Ouvrir la trappe en bas de l'appareil, placer un récipient, dévisser lentement le bouchon. Retirer pièces, cheveux et peluches. Rincer et revisser fermement.</t>
  </si>
  <si>
    <t xml:space="preserve">Pompe de vidange forcée puis HS, eau stagnante et odeurs</t>
  </si>
  <si>
    <t xml:space="preserve">T-048</t>
  </si>
  <si>
    <t xml:space="preserve">Nettoyage du joint de hublot</t>
  </si>
  <si>
    <t xml:space="preserve">Chiffon, vinaigre blanc ou bicarbonate</t>
  </si>
  <si>
    <t xml:space="preserve">Écarter le pli du joint sur tout le tour et essuyer. Laisser le hublot entrouvert après chaque lessive.</t>
  </si>
  <si>
    <t xml:space="preserve">Moisissure noire incrustée, odeur transmise au linge, joint à remplacer</t>
  </si>
  <si>
    <t xml:space="preserve">T-049</t>
  </si>
  <si>
    <t xml:space="preserve">Cycle de détartrage à vide</t>
  </si>
  <si>
    <t xml:space="preserve">Acide citrique (100 g) ou vinaigre blanc (500 ml)</t>
  </si>
  <si>
    <t xml:space="preserve">Machine vide, cycle le plus chaud (90 degrés), produit directement dans le tambour. Nettoyer ensuite le bac à lessive à l'eau chaude.</t>
  </si>
  <si>
    <t xml:space="preserve">Résistance entartrée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</si>
  <si>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</si>
  <si>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</si>
  <si>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</si>
  <si>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</si>
  <si>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l'arrivée d'eau, dévisser, remplacer joints compris. Prévoir un tuyau aquastop si l'appareil est à l'étage.</t>
  </si>
  <si>
    <t xml:space="preserve">Rupture du tuyau = dégât des eaux, première cause de sinistre habitation</t>
  </si>
  <si>
    <t xml:space="preserve">T-051</t>
  </si>
  <si>
    <t xml:space="preserve">Nettoyage du filtre à peluches</t>
  </si>
  <si>
    <t xml:space="preserve">À chaque cycle</t>
  </si>
  <si>
    <t xml:space="preserve">Retirer le voile de peluches à la main après chaque séchage. Rincer le filtre à l'eau une fois par mois pour éliminer le film d'adoucissant.</t>
  </si>
  <si>
    <t xml:space="preserve">Temps de séchage double, surchauffe, risque d'incendie</t>
  </si>
  <si>
    <t xml:space="preserve">T-052</t>
  </si>
  <si>
    <t xml:space="preserve">Nettoyage du condenseur</t>
  </si>
  <si>
    <t xml:space="preserve">Eau courante, brosse souple</t>
  </si>
  <si>
    <t xml:space="preserve">Déverrouiller la trappe basse, extraire le bloc condenseur, le rincer sous le robinet jusqu'à ce que l'eau ressorte claire, sécher et remonter.</t>
  </si>
  <si>
    <t xml:space="preserve">Condenseur colmaté = cycles interminables et surconsommation massive</t>
  </si>
  <si>
    <t xml:space="preserve">T-053</t>
  </si>
  <si>
    <t xml:space="preserve">Nettoyage du filtre de la pompe à chaleur</t>
  </si>
  <si>
    <t xml:space="preserve">Tous les 3 mois (modèles PAC)</t>
  </si>
  <si>
    <t xml:space="preserve">Filtre fin situé derrière le filtre principal. Aspirer puis rincer. Sur les sèche-linge PAC, c'est la pièce la plus souvent négligée.</t>
  </si>
  <si>
    <t xml:space="preserve">Evaporateur encrassé = panne du circuit frigorifique, réparation coûteuse</t>
  </si>
  <si>
    <t xml:space="preserve">T-054</t>
  </si>
  <si>
    <t xml:space="preserve">Nettoyage du filtre du lave-vaisselle</t>
  </si>
  <si>
    <t xml:space="preserve">Brosse à vaisselle, eau chaude</t>
  </si>
  <si>
    <t xml:space="preserve">Déverrouiller le filtre cylindrique au fond de la cuve, retirer les résidus, brosser la grille inox, rincer.</t>
  </si>
  <si>
    <t xml:space="preserve">Vaisselle qui ressort sale, odeurs, pompe bloquée</t>
  </si>
  <si>
    <t xml:space="preserve">T-055</t>
  </si>
  <si>
    <t xml:space="preserve">Debouchage des bras de lavage</t>
  </si>
  <si>
    <t xml:space="preserve">Cure-dent, aiguille</t>
  </si>
  <si>
    <t xml:space="preserve">Déposer les bras (souvent un quart de tour), dégager chaque buse avec un cure-dent, rincer, vérifier qu'ils tournent librement une fois remontés.</t>
  </si>
  <si>
    <t xml:space="preserve">Buses obstruées = zones non lavées, cycles relancés inutilement</t>
  </si>
  <si>
    <t xml:space="preserve">T-056</t>
  </si>
  <si>
    <t xml:space="preserve">Contrôle du sel régénérant et du liquide de rinçage</t>
  </si>
  <si>
    <t xml:space="preserve">Tous les 2 mois</t>
  </si>
  <si>
    <t xml:space="preserve">Sel régénérant spécifique, liquide de rinçage</t>
  </si>
  <si>
    <t xml:space="preserve">Remplir le réservoir de sel (jamais de sel de table). Régler la dureté de l'appareil sur celle de l'eau du réseau, disponible sur la facture d'eau.</t>
  </si>
  <si>
    <t xml:space="preserve">Traces blanches, entartrage de la résistance</t>
  </si>
  <si>
    <t xml:space="preserve">T-057</t>
  </si>
  <si>
    <t xml:space="preserve">Acide citrique ou produit spécifique</t>
  </si>
  <si>
    <t xml:space="preserve">Appareil vide, cycle le plus chaud avec le produit dans le panier supérieur.</t>
  </si>
  <si>
    <t xml:space="preserve">Résistance entartrée, cycles qui n'atteignent plus la température</t>
  </si>
  <si>
    <t xml:space="preserve">T-058</t>
  </si>
  <si>
    <t xml:space="preserve">Cycle de pyrolyse</t>
  </si>
  <si>
    <t xml:space="preserve">Aucun (retirer grilles et lechefrite)</t>
  </si>
  <si>
    <t xml:space="preserve">Retirer tous les accessoires non pyrolysables. Ventiler la pièce. Sortir les animaux domestiques, en particulier les oiseaux, sensibles aux vapeurs.</t>
  </si>
  <si>
    <t xml:space="preserve">Graisses carbonisées = fumées à chaque cuisson, joint attaqué</t>
  </si>
  <si>
    <t xml:space="preserve">T-059</t>
  </si>
  <si>
    <t xml:space="preserve">Contrôle du joint de porte du four</t>
  </si>
  <si>
    <t xml:space="preserve">Passer le doigt sur tout le pourtour : le joint doit être souple et sans cassure. Un joint durci se remplace, pièce disponible chez le fabricant.</t>
  </si>
  <si>
    <t xml:space="preserve">Perte de chaleur, cuissons irrégulières, surconsommation</t>
  </si>
  <si>
    <t xml:space="preserve">T-060</t>
  </si>
  <si>
    <t xml:space="preserve">Contrôle de la date de péremption du flexible gaz</t>
  </si>
  <si>
    <t xml:space="preserve">Lire la date imprimée sur la bague du flexible. Remplacer impérativement à échéance, même si le tuyau paraît intact. Privilégier un flexible à durée de vie illimitée avec embouts vissables.</t>
  </si>
  <si>
    <t xml:space="preserve">Fuite de gaz, explosion, non-couverture par l'assurance</t>
  </si>
  <si>
    <t xml:space="preserve">T-061</t>
  </si>
  <si>
    <t xml:space="preserve">Nettoyage des brûleurs et injecteurs</t>
  </si>
  <si>
    <t xml:space="preserve">Brosse métallique fine, aiguille, eau savonneuse</t>
  </si>
  <si>
    <t xml:space="preserve">Déposer chapeaux et couronnes, les faire tremper, dégager chaque orifice à l'aiguille. Une flamme doit être bleue et stable.</t>
  </si>
  <si>
    <t xml:space="preserve">Flamme jaune = combustion incomplète et production de monoxyde de carbone</t>
  </si>
  <si>
    <t xml:space="preserve">T-062</t>
  </si>
  <si>
    <t xml:space="preserve">Détartrage de la machine à café</t>
  </si>
  <si>
    <t xml:space="preserve">Tous les 1 à 3 mois selon dureté</t>
  </si>
  <si>
    <t xml:space="preserve">Détartrant spécifique ou acide citrique</t>
  </si>
  <si>
    <t xml:space="preserve">Lancer le programme de détartrage de l'appareil. En eau dure (au-delà de 25 degrés français), passer à un détartrage mensuel ou installer un filtre.</t>
  </si>
  <si>
    <t xml:space="preserve">Entartrage de la pompe : première cause de panne définitive</t>
  </si>
  <si>
    <t xml:space="preserve">T-063</t>
  </si>
  <si>
    <t xml:space="preserve">Nettoyage du groupe d'infusion et du circuit lait</t>
  </si>
  <si>
    <t xml:space="preserve">Hebdomadaire</t>
  </si>
  <si>
    <t xml:space="preserve">Eau tiède, pastilles degraissantes</t>
  </si>
  <si>
    <t xml:space="preserve">Rincer le groupe d'infusion amovible à l'eau claire sans détergent. Nettoyer le circuit lait après chaque usage, impérativement le jour même.</t>
  </si>
  <si>
    <t xml:space="preserve">Rancissement du circuit lait, goût altéré, contamination</t>
  </si>
  <si>
    <t xml:space="preserve">T-064</t>
  </si>
  <si>
    <t xml:space="preserve">Remplacement du filtre HEPA de l'aspirateur</t>
  </si>
  <si>
    <t xml:space="preserve">Filtre compatible</t>
  </si>
  <si>
    <t xml:space="preserve">Certains filtres sont lavables (rincer, sécher 24 h), d'autres se remplacent. Vérifier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</si>
  <si>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</si>
  <si>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</si>
  <si>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</si>
  <si>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</si>
  <si>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Démonter la brosse centrale et couper les cheveux enroulés, nettoyer les brosses latérales, essuyer les capteurs de chute et la lentille de navigation.</t>
  </si>
  <si>
    <t xml:space="preserve">Moteur de brosse force, navigation erratique, chutes dans les escaliers</t>
  </si>
  <si>
    <t xml:space="preserve">T-066</t>
  </si>
  <si>
    <t xml:space="preserve">Détartrage des mousseurs de robinet</t>
  </si>
  <si>
    <t xml:space="preserve">Vinaigre blanc, pince, chiffon</t>
  </si>
  <si>
    <t xml:space="preserve">Dévisser l'embout, le faire tremper une nuit dans du vinaigre blanc, rincer, remonter.</t>
  </si>
  <si>
    <t xml:space="preserve">Débit réduit, projections, éclaboussures</t>
  </si>
  <si>
    <t xml:space="preserve">T-067</t>
  </si>
  <si>
    <t xml:space="preserve">Recherche de fuite par relevé de compteur</t>
  </si>
  <si>
    <t xml:space="preserve">Fermer tous les points d'eau, relever le compteur, attendre 2 h sans consommation, relever de nouveau. Toute différence signale une fuite. Commencer par les chasses d'eau.</t>
  </si>
  <si>
    <t xml:space="preserve">Une chasse d'eau qui fuit peut représenter 200 m3 par an</t>
  </si>
  <si>
    <t xml:space="preserve">T-068</t>
  </si>
  <si>
    <t xml:space="preserve">Contrôle du disconnecteur</t>
  </si>
  <si>
    <t xml:space="preserve">Pro habilité</t>
  </si>
  <si>
    <t xml:space="preserve">Obligatoire si le réseau d'arrosage ou un récupérateur d'eau de pluie est raccordé au réseau public. Contrôle du clapet et de la mise à l'air.</t>
  </si>
  <si>
    <t xml:space="preserve">Retour d'eau polluée dans le réseau public : responsabilité civile et pénale engagée</t>
  </si>
  <si>
    <t xml:space="preserve">T-069</t>
  </si>
  <si>
    <t xml:space="preserve">Nettoyage du filtre et de la cuve de récupération</t>
  </si>
  <si>
    <t xml:space="preserve">Tous les 6 mois (filtre) / 12 mois (cuve)</t>
  </si>
  <si>
    <t xml:space="preserve">Brosse, jet d'eau</t>
  </si>
  <si>
    <t xml:space="preserve">Nettoyer le filtre en amont de la cuve, vérifier le siphon anti-odeurs et le trop-plein. Tenir à jour le carnet sanitaire si l'eau alimente des WC ou un lave-linge.</t>
  </si>
  <si>
    <t xml:space="preserve">Eau chargée, colmatage de la pompe, non-conformité au contrôle</t>
  </si>
  <si>
    <t xml:space="preserve">T-070</t>
  </si>
  <si>
    <t xml:space="preserve">Contrôle de la pompe de relevage</t>
  </si>
  <si>
    <t xml:space="preserve">Seau d'eau</t>
  </si>
  <si>
    <t xml:space="preserve">Verser de l'eau pour déclencher le flotteur et vérifier le démarrage. Nettoyer la crépine et contrôler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</si>
  <si>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</si>
  <si>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</si>
  <si>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</si>
  <si>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</si>
  <si>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période de gel</t>
  </si>
  <si>
    <t xml:space="preserve">Vidangeur agréé par le préfet</t>
  </si>
  <si>
    <t xml:space="preserve">Faire mesurer la hauteur de boues. Exiger le bordereau de suivi des matières de vidange : c'est la pièce que le SPANC réclame au contrôle. Ne jamais faire nettoyer au jet haute pression, cela détruit la flore bactérienne.</t>
  </si>
  <si>
    <t xml:space="preserve">Colmatage de l'épandage, remontées d'eaux usées, non-conformité au contrôle</t>
  </si>
  <si>
    <t xml:space="preserve">T-072</t>
  </si>
  <si>
    <t xml:space="preserve">Préparation du contrôle périodique SPANC</t>
  </si>
  <si>
    <t xml:space="preserve">Au moins tous les 10 ans (souvent 4 à 8 selon la commune)</t>
  </si>
  <si>
    <t xml:space="preserve">Sur convocation</t>
  </si>
  <si>
    <t xml:space="preserve">Plan de l'installation, bordereaux de vidange</t>
  </si>
  <si>
    <t xml:space="preserve">Dégager les regards et tampons, rassembler le plan, les factures d'entretien et les bordereaux de vidange. Vérifier la hauteur de boues avant la visite.</t>
  </si>
  <si>
    <t xml:space="preserve">Avis de non-conformité, travaux imposés sous 4 ans, majoration de redevance</t>
  </si>
  <si>
    <t xml:space="preserve">T-073</t>
  </si>
  <si>
    <t xml:space="preserve">Nettoyage du bac à graisse</t>
  </si>
  <si>
    <t xml:space="preserve">Gants, raclette, sac étanche</t>
  </si>
  <si>
    <t xml:space="preserve">Retirer la croûte de graisse en surface, racler les parois, évacuer avec les ordures ménagères (jamais dans les canalisations).</t>
  </si>
  <si>
    <t xml:space="preserve">Graisses qui colmatent le pretraitement et l'épandage</t>
  </si>
  <si>
    <t xml:space="preserve">T-074</t>
  </si>
  <si>
    <t xml:space="preserve">Nettoyage du prefiltre</t>
  </si>
  <si>
    <t xml:space="preserve">Jet d'eau, gants</t>
  </si>
  <si>
    <t xml:space="preserve">Sortir les matériaux filtrants (pouzzolane), les rincer au jet au-dessus de la fosse, les remettre en place.</t>
  </si>
  <si>
    <t xml:space="preserve">Prefiltre colmaté = passage de matières vers l'épandage, qui se bouche définitivement</t>
  </si>
  <si>
    <t xml:space="preserve">T-075</t>
  </si>
  <si>
    <t xml:space="preserve">Maintenance annuelle de la micro-station</t>
  </si>
  <si>
    <t xml:space="preserve">Tous les ans (contrat)</t>
  </si>
  <si>
    <t xml:space="preserve">Contrôle du surpresseur, des diffuseurs d'air, de la recirculation des boues et mesure du taux de boues.</t>
  </si>
  <si>
    <t xml:space="preserve">Arrêt de la biomasse epuratoire, rejets non conformes, remise en route longue</t>
  </si>
  <si>
    <t xml:space="preserve">T-076</t>
  </si>
  <si>
    <t xml:space="preserve">Contrôle visuel de l'installation photovoltaique</t>
  </si>
  <si>
    <t xml:space="preserve">Jumelles depuis le sol</t>
  </si>
  <si>
    <t xml:space="preserve">Observer depuis le sol : salissures, fientes, mousses, ombrage nouveau (branche qui a poussé), modules déplacés après une tempête. Ne jamais monter sur la toiture sans équipement.</t>
  </si>
  <si>
    <t xml:space="preserve">Ombrage partiel = perte disproportionnée sur toute la chaîne de modules</t>
  </si>
  <si>
    <t xml:space="preserve">T-077</t>
  </si>
  <si>
    <t xml:space="preserve">Nettoyage des modules</t>
  </si>
  <si>
    <t xml:space="preserve">Tous les 1 à 2 ans</t>
  </si>
  <si>
    <t xml:space="preserve">Printemps, tôt le matin</t>
  </si>
  <si>
    <t xml:space="preserve">Prestataire équipé (travail en hauteur)</t>
  </si>
  <si>
    <t xml:space="preserve">Eau demineralisee et brosse douce, jamais de haute pression ni de détergent. Modules froids impérativement, sinon choc thermique.</t>
  </si>
  <si>
    <t xml:space="preserve">Salissures = 5 à 15% de production perdue</t>
  </si>
  <si>
    <t xml:space="preserve">T-078</t>
  </si>
  <si>
    <t xml:space="preserve">Relevé mensuel de la production</t>
  </si>
  <si>
    <t xml:space="preserve">Application du monitoring</t>
  </si>
  <si>
    <t xml:space="preserve">Comparer la production du mois à celle du même mois l'an dernier. Un écart supérieur à 10% signale un problème (onduleur, string hors service, salissure).</t>
  </si>
  <si>
    <t xml:space="preserve">Sous-production non détectée pendant des mois, perte sèche sur la revente</t>
  </si>
  <si>
    <t xml:space="preserve">T-079</t>
  </si>
  <si>
    <t xml:space="preserve">Contrôle de la borne de recharge</t>
  </si>
  <si>
    <t xml:space="preserve">Pro qualifié IRVE</t>
  </si>
  <si>
    <t xml:space="preserve">Contrôle du serrage des connexions, de l'état du câble et de la prise, test du différentiel dédié, vérification de la mise à la terre.</t>
  </si>
  <si>
    <t xml:space="preserve">Échauffement des contacts, déclenchements répétés, risque d'incendie</t>
  </si>
  <si>
    <t xml:space="preserve">T-080</t>
  </si>
  <si>
    <t xml:space="preserve">Test des interrupteurs différentiels</t>
  </si>
  <si>
    <t xml:space="preserve">Appuyer sur le bouton Test de chaque différentiel : il doit déclencher immédiatement. Reenclencher. Prévenir les occupants avant (coupure des appareils).</t>
  </si>
  <si>
    <t xml:space="preserve">Un différentiel grippé ne protège plus contre l'électrocution</t>
  </si>
  <si>
    <t xml:space="preserve">T-081</t>
  </si>
  <si>
    <t xml:space="preserve">Démarrage de maintien du groupe électrogène</t>
  </si>
  <si>
    <t xml:space="preserve">Carburant stabilisé</t>
  </si>
  <si>
    <t xml:space="preserve">Faire tourner 15 minutes en charge. Vidanger le carburant ou utiliser un stabilisant si l'appareil reste inutilisé plus de 3 mois.</t>
  </si>
  <si>
    <t xml:space="preserve">Carburateur encrassé : refus de démarrage le jour ou on en à besoin</t>
  </si>
  <si>
    <t xml:space="preserve">T-082</t>
  </si>
  <si>
    <t xml:space="preserve">Test du détecteur de fumée</t>
  </si>
  <si>
    <t xml:space="preserve">Appuyer sur le bouton test jusqu'au signal sonore. Dépoussiérer la grille à l'aspirateur tous les 6 mois.</t>
  </si>
  <si>
    <t xml:space="preserve">Un détecteur muet est un détecteur inutile</t>
  </si>
  <si>
    <t xml:space="preserve">T-083</t>
  </si>
  <si>
    <t xml:space="preserve">Remplacement du détecteur de fumée (10 ans après fabrication)</t>
  </si>
  <si>
    <t xml:space="preserve">10 ans après la date de fabrication imprimée au dos</t>
  </si>
  <si>
    <t xml:space="preserve">Selon échéance</t>
  </si>
  <si>
    <t xml:space="preserve">Détecteur neuf certifié NF EN 14604</t>
  </si>
  <si>
    <t xml:space="preserve">Remplacer l'appareil complet 10 ans après sa date de fabrication, ou dès qu'il signale sa fin de vie. Les modèles récents ont une pile scellée de 10 ans : rien à changer entre-temps. Sur un ancien modèle à pile remplaçable, changer la pile chaque année.</t>
  </si>
  <si>
    <t xml:space="preserve">Détecteur hors service sans que personne ne s'en aperçoive</t>
  </si>
  <si>
    <t xml:space="preserve">T-084</t>
  </si>
  <si>
    <t xml:space="preserve">Test du détecteur de monoxyde de carbone</t>
  </si>
  <si>
    <t xml:space="preserve">Bouton test mensuel. Positionner l'appareil à hauteur de respiration, dans la pièce où se trouve l'appareil à combustion, à 1 à 3 m de celui-ci.</t>
  </si>
  <si>
    <t xml:space="preserve">Le CO est inodore et incolore : sans détecteur, aucun signe avant-coureur</t>
  </si>
  <si>
    <t xml:space="preserve">T-085</t>
  </si>
  <si>
    <t xml:space="preserve">Test de l'alarme et remplacement des piles</t>
  </si>
  <si>
    <t xml:space="preserve">Test mensuel / piles annuelles</t>
  </si>
  <si>
    <t xml:space="preserve">Piles lithium des détecteurs</t>
  </si>
  <si>
    <t xml:space="preserve">Passer en mode test, déclencher chaque détecteur un par un, vérifier la transmission vers la centrale et la sirène.</t>
  </si>
  <si>
    <t xml:space="preserve">Détecteur muet ou fausses alarmes à répétition</t>
  </si>
  <si>
    <t xml:space="preserve">T-086</t>
  </si>
  <si>
    <t xml:space="preserve">Visite d'entretien de l'ascenseur</t>
  </si>
  <si>
    <t xml:space="preserve">Toutes les 6 semaines au maximum</t>
  </si>
  <si>
    <t xml:space="preserve">Ascensoriste sous contrat</t>
  </si>
  <si>
    <t xml:space="preserve">Obligation légale : contrat d'entretien et visite toutes les 6 semaines. Le carnet d'entretien doit être tenu à jour et conservable.</t>
  </si>
  <si>
    <t xml:space="preserve">T-087</t>
  </si>
  <si>
    <t xml:space="preserve">Contrôle technique quinquennal</t>
  </si>
  <si>
    <t xml:space="preserve">Organisme de contrôle agréé</t>
  </si>
  <si>
    <t xml:space="preserve">Contrôle indépendant de l'installation et de l'état de sécurité. Rapport à conserver et à annexer au carnet d'entretien.</t>
  </si>
  <si>
    <t xml:space="preserve">Non-conformité, mise à l'arrêt de l'appareil</t>
  </si>
  <si>
    <t xml:space="preserve">T-088</t>
  </si>
  <si>
    <t xml:space="preserve">Graissage et test des sécurités du portail</t>
  </si>
  <si>
    <t xml:space="preserve">Graisse silicone, chiffon</t>
  </si>
  <si>
    <t xml:space="preserve">Nettoyer le rail ou les gonds, graisser les articulations. Tester l'anti-écrasement en interposant un obstacle souple : le portail doit s'arrêter et repartir en arrière.</t>
  </si>
  <si>
    <t xml:space="preserve">Cellules desalignees ou anti-écrasement HS : risque d'accident grave, notamment pour un enfant</t>
  </si>
  <si>
    <t xml:space="preserve">T-089</t>
  </si>
  <si>
    <t xml:space="preserve">Nettoyage des cellules photoélectriques</t>
  </si>
  <si>
    <t xml:space="preserve">Chiffon microfibre</t>
  </si>
  <si>
    <t xml:space="preserve">Essuyer les deux lentilles, vérifier l'alignement (voyant fixe) et l'absence de végétation devant le faisceau.</t>
  </si>
  <si>
    <t xml:space="preserve">Portail qui refuse de se fermer ou se ferme sur un obstacle</t>
  </si>
  <si>
    <t xml:space="preserve">T-090</t>
  </si>
  <si>
    <t xml:space="preserve">Contrôle des ressorts et du câble de la porte de garage</t>
  </si>
  <si>
    <t xml:space="preserve">Lampe torche</t>
  </si>
  <si>
    <t xml:space="preserve">Inspecter visuellement les ressorts, câbles et galets. En cas de fil casse ou de ressort détendu, ne pas intervenir soi-même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</si>
  <si>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</si>
  <si>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</si>
  <si>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</si>
  <si>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</si>
  <si>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pulvériser du silicone (jamais de graisse qui attire la poussière), manœuvrer plusieurs fois.</t>
  </si>
  <si>
    <t xml:space="preserve">Lames coincées, moteur forcé puis grille</t>
  </si>
  <si>
    <t xml:space="preserve">T-092</t>
  </si>
  <si>
    <t xml:space="preserve">Entretien des joints et de la quincaillerie des fenêtres</t>
  </si>
  <si>
    <t xml:space="preserve">Silicone, graisse pour quincaillerie, tournevis</t>
  </si>
  <si>
    <t xml:space="preserve">Nettoyer les joints et les nourrir au silicone. Graisser gâches et cremones. Régler la compression avec les excentriques si un courant d'air se fait sentir.</t>
  </si>
  <si>
    <t xml:space="preserve">Infiltrations, déperdition thermique, ferrure désaxée</t>
  </si>
  <si>
    <t xml:space="preserve">T-093</t>
  </si>
  <si>
    <t xml:space="preserve">Contrôle du dispositif de sécurité réglementaire</t>
  </si>
  <si>
    <t xml:space="preserve">Vérifier le bon état et le fonctionnement du dispositif retenu (barrière, alarme, couverture ou abri) et conserver l'attestation de conformité.</t>
  </si>
  <si>
    <t xml:space="preserve">Amende jusqu'à 45 000 EUR et, surtout, risque de noyade</t>
  </si>
  <si>
    <t xml:space="preserve">T-094</t>
  </si>
  <si>
    <t xml:space="preserve">Contre-lavage du filtre à sable</t>
  </si>
  <si>
    <t xml:space="preserve">Mai à septembre</t>
  </si>
  <si>
    <t xml:space="preserve">Aucun (vanne 6 voies)</t>
  </si>
  <si>
    <t xml:space="preserve">Pompe à l'arrêt, vanne sur Backwash, relancer 2 minutes jusqu'à ce que l'eau du voyant soit claire, puis Rinse 30 secondes, puis retour en Filtration. Faire l'appoint d'eau ensuite.</t>
  </si>
  <si>
    <t xml:space="preserve">Filtre colmaté = pression qui monte, filtration inefficace, eau trouble</t>
  </si>
  <si>
    <t xml:space="preserve">T-095</t>
  </si>
  <si>
    <t xml:space="preserve">Remplacement du sable du filtre</t>
  </si>
  <si>
    <t xml:space="preserve">Tous les 5 à 7 ans</t>
  </si>
  <si>
    <t xml:space="preserve">Sable de silice calibré ou verre filtrant</t>
  </si>
  <si>
    <t xml:space="preserve">Vidange du filtre, évacuation du sable aggloméré, remplissage neuf en respectant la granulometrie et le volume prévus par le constructeur.</t>
  </si>
  <si>
    <t xml:space="preserve">Sable aggloméré en blocs = filtration nulle malgré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</si>
  <si>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</si>
  <si>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</si>
  <si>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</si>
  <si>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désamorcée puis joint de turbine grille</t>
  </si>
  <si>
    <t xml:space="preserve">T-097</t>
  </si>
  <si>
    <t xml:space="preserve">Hivernage de la filtration</t>
  </si>
  <si>
    <t xml:space="preserve">Novembre (eau sous 12 degrés)</t>
  </si>
  <si>
    <t xml:space="preserve">Bouchons d'hivernage, gizzmo, flotteurs, produit d'hivernage</t>
  </si>
  <si>
    <t xml:space="preserve">Baisser le niveau sous les buses, vidanger intégralement pompe et filtre, poser les bouchons, protéger le skimmer avec un gizzmo, ajouter le produit d'hivernage.</t>
  </si>
  <si>
    <t xml:space="preserve">Gel = pompe et filtre fendus, plusieurs centaines d'euros de remplacement</t>
  </si>
  <si>
    <t xml:space="preserve">T-098</t>
  </si>
  <si>
    <t xml:space="preserve">Remise en service au printemps</t>
  </si>
  <si>
    <t xml:space="preserve">Mars à avril (eau sous 15 degrés)</t>
  </si>
  <si>
    <t xml:space="preserve">Produits de traitement, épuisette, kit de test</t>
  </si>
  <si>
    <t xml:space="preserve">Retirer les bouchons, remonter le niveau, nettoyer le bassin, analyser l'eau, ajuster pH puis désinfectant, filtrer en continu 24 à 48 h.</t>
  </si>
  <si>
    <t xml:space="preserve">Démarrage trop tardif = eau verte et traitement de choc coûteux</t>
  </si>
  <si>
    <t xml:space="preserve">T-099</t>
  </si>
  <si>
    <t xml:space="preserve">Contrôle et détartrage de la cellule d'électrolyse</t>
  </si>
  <si>
    <t xml:space="preserve">Mensuel (contrôle) / annuel (détartrage)</t>
  </si>
  <si>
    <t xml:space="preserve">Vinaigre blanc ou acide dilué, gants</t>
  </si>
  <si>
    <t xml:space="preserve">Inspecter les plaques par transparence. Si le calcaire est visible, tremper la cellule dans une solution de détartrage, rincer abondamment à l'eau claire.</t>
  </si>
  <si>
    <t xml:space="preserve">Cellule entartrée = production de chlore nulle et eau qui verdit en 48 h</t>
  </si>
  <si>
    <t xml:space="preserve">T-100</t>
  </si>
  <si>
    <t xml:space="preserve">Test de l'alarme de piscine</t>
  </si>
  <si>
    <t xml:space="preserve">Déclencher volontairement le détecteur et vérifier la sirène. Remplacer la pile chaque année. C'est un équipement réglementaire, pas un accessoire.</t>
  </si>
  <si>
    <t xml:space="preserve">Dispositif de sécurité obligatoire inopérant : responsabilité pénale engagée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</si>
  <si>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</si>
  <si>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</si>
  <si>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</si>
  <si>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</si>
  <si>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dégraissant. Vidanger tous les 3 mois en purgeant les canalisations avec un produit anti-biofilm.</t>
  </si>
  <si>
    <t xml:space="preserve">Biofilm dans les canalisations, risque de legionelle</t>
  </si>
  <si>
    <t xml:space="preserve">T-102</t>
  </si>
  <si>
    <t xml:space="preserve">Révision annuelle de la tondeuse thermique</t>
  </si>
  <si>
    <t xml:space="preserve">Mars, avant la saison</t>
  </si>
  <si>
    <t xml:space="preserve">Huile moteur, bougie, filtre à air, lime</t>
  </si>
  <si>
    <t xml:space="preserve">Vidanger l'huile moteur à chaud, remplacer la bougie et le filtre à air, affûter et équilibrer la lame, nettoyer le carter.</t>
  </si>
  <si>
    <t xml:space="preserve">Moteur grippé, lame émoussée qui arraché l'herbe au lieu de la couper</t>
  </si>
  <si>
    <t xml:space="preserve">T-103</t>
  </si>
  <si>
    <t xml:space="preserve">Préparation à l'hivernage</t>
  </si>
  <si>
    <t xml:space="preserve">Stabilisant carburant</t>
  </si>
  <si>
    <t xml:space="preserve">Vider le réservoir ou ajouter un stabilisant, faire tourner jusqu'à la panne sèche, nettoyer le carter, stocker au sec.</t>
  </si>
  <si>
    <t xml:space="preserve">Carburateur encrassé par le carburant vieilli : refus de démarrage au printemps</t>
  </si>
  <si>
    <t xml:space="preserve">T-104</t>
  </si>
  <si>
    <t xml:space="preserve">Remplacement des lames du robot tondeuse</t>
  </si>
  <si>
    <t xml:space="preserve">Tous les 2 à 3 mois</t>
  </si>
  <si>
    <t xml:space="preserve">Mars à octobre</t>
  </si>
  <si>
    <t xml:space="preserve">Jeu de lames et vis d'origine</t>
  </si>
  <si>
    <t xml:space="preserve">Retourner le robot, dévisser les lames, les remplacer toutes en même temps pour préserver l'équilibrage. Nettoyer le châssis à la brosse, jamais au jet.</t>
  </si>
  <si>
    <t xml:space="preserve">Lames émoussées = herbe déchirée,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</si>
  <si>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</si>
  <si>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</si>
  <si>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</si>
  <si>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</si>
  <si>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</si>
  <si>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</si>
  <si>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</si>
  <si>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</si>
  <si>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réseaux à l'air comprimé si l'installation le permet, rentrer le programmateur.</t>
  </si>
  <si>
    <t xml:space="preserve">Canalisations et electrovannes éclatées par le gel</t>
  </si>
  <si>
    <t xml:space="preserve">T-107</t>
  </si>
  <si>
    <t xml:space="preserve">Contrôle de printemps des goutteurs et arroseurs</t>
  </si>
  <si>
    <t xml:space="preserve">Mars à avril</t>
  </si>
  <si>
    <t xml:space="preserve">Remettre en eau progressivement, faire tourner chaque zone, repérer goutteurs bouches, tuyères désaxées et fuites, reprogrammer selon la saison.</t>
  </si>
  <si>
    <t xml:space="preserve">Zones non arrosées et gaspillage d'eau ailleurs</t>
  </si>
  <si>
    <t xml:space="preserve">T-108</t>
  </si>
  <si>
    <t xml:space="preserve">Contrôle du flexible et des brûleurs du barbecue gaz</t>
  </si>
  <si>
    <t xml:space="preserve">Avril</t>
  </si>
  <si>
    <t xml:space="preserve">Vérifier la date du flexible. Test de fuite : badigeonner les raccords d'eau savonneuse, des bulles signalent une fuite. Dégager les orifices des brûleurs.</t>
  </si>
  <si>
    <t xml:space="preserve">T-109</t>
  </si>
  <si>
    <t xml:space="preserve">Nettoyage des gouttières</t>
  </si>
  <si>
    <t xml:space="preserve">2 fois par an</t>
  </si>
  <si>
    <t xml:space="preserve">Novembre (après la chute des feuilles) et avril</t>
  </si>
  <si>
    <t xml:space="preserve">Échelle stabilisée, gants, seau, jet d'eau</t>
  </si>
  <si>
    <t xml:space="preserve">Retirer feuilles et mousses, rincer vers les descentes, vérifier l'écoulement et l'état des crochets. Travail en hauteur : ne jamais opérer seul.</t>
  </si>
  <si>
    <t xml:space="preserve">Débordement le long des murs, humidité en pied de façade, gel qui déformé les chenaux</t>
  </si>
  <si>
    <t xml:space="preserve">T-110</t>
  </si>
  <si>
    <t xml:space="preserve">Contrôle visuel de la toiture</t>
  </si>
  <si>
    <t xml:space="preserve">Après les tempêtes d'automne</t>
  </si>
  <si>
    <t xml:space="preserve">Jumelles</t>
  </si>
  <si>
    <t xml:space="preserve">Observer depuis le sol ou une fenêtre en vis-à-vis : tuiles déplacées ou cassées, faitage, solins de cheminée, mousses. Ne jamais monter sur le toit sans sécurisation.</t>
  </si>
  <si>
    <t xml:space="preserve">Une tuile déplacée non vue = infiltration lente, charpente et isolant à reprendre</t>
  </si>
  <si>
    <t xml:space="preserve">T-111</t>
  </si>
  <si>
    <t xml:space="preserve">Demoussage et traitement de la couverture</t>
  </si>
  <si>
    <t xml:space="preserve">Entreprise de couverture</t>
  </si>
  <si>
    <t xml:space="preserve">Demoussage, traitement anti-mousse puis hydrofuge selon l'exposition. Vérifier que l'entreprise est assurée pour le travail en hauteur.</t>
  </si>
  <si>
    <t xml:space="preserve">Mousses retenant l'humidité, tuiles gelives qui éclatent</t>
  </si>
  <si>
    <t xml:space="preserve">T-112</t>
  </si>
  <si>
    <t xml:space="preserve">Nettoyage et saturateur de la terrasse bois</t>
  </si>
  <si>
    <t xml:space="preserve">Avril à mai</t>
  </si>
  <si>
    <t xml:space="preserve">Degriseur, saturateur, brosse, pinceau</t>
  </si>
  <si>
    <t xml:space="preserve">Nettoyer au degriseur, rincer, laisser sécher 48 h, appliquer le saturateur dans le sens des fibres. Jamais de nettoyeur haute pression, qui ouvre le bois.</t>
  </si>
  <si>
    <t xml:space="preserve">Grisaillement, échardes, lames qui se fendent et doivent être remplacées</t>
  </si>
  <si>
    <t xml:space="preserve">T-113</t>
  </si>
  <si>
    <t xml:space="preserve">Contrôle termites et insectes xylophages</t>
  </si>
  <si>
    <t xml:space="preserve">Tous les 3 à 5 ans</t>
  </si>
  <si>
    <t xml:space="preserve">Diagnostiqueur ou entreprise de traitement</t>
  </si>
  <si>
    <t xml:space="preserve">Inspection de la charpente, des bois en contact avec la maçonnerie et des points d'humidité. Obligatoire au titre du diagnostic termites à la vente dans les zones classées par arrêté préfectoral.</t>
  </si>
  <si>
    <t xml:space="preserve">Attaque détectée trop tard = reprise structurelle très lourde</t>
  </si>
  <si>
    <t xml:space="preserve">T-114</t>
  </si>
  <si>
    <t xml:space="preserve">Contrôle des combles</t>
  </si>
  <si>
    <t xml:space="preserve">Automne</t>
  </si>
  <si>
    <t xml:space="preserve">Chercher traces d'humidité, isolant tassé ou déplacé, déjections de rongeurs, jour visible au travers de la couverture.</t>
  </si>
  <si>
    <t xml:space="preserve">Isolant humide ou tassé : performance divisée par deux sans signe visible depuis l'intérieur</t>
  </si>
  <si>
    <t xml:space="preserve">T-115</t>
  </si>
  <si>
    <t xml:space="preserve">Contrôle de l'humidité du sous-sol</t>
  </si>
  <si>
    <t xml:space="preserve">Hygrometre</t>
  </si>
  <si>
    <t xml:space="preserve">Mesurer l'hygrometrie, chercher salpêtre, auréoles et odeur de moisi, vérifier que les aerations basses ne sont pas obstruées.</t>
  </si>
  <si>
    <t xml:space="preserve">Remontées capillaires, planchers bois dégradés, air vicié diffuse vers le logement</t>
  </si>
  <si>
    <t xml:space="preserve">T-116</t>
  </si>
  <si>
    <t xml:space="preserve">Archivage des attestations et factures d'entretien</t>
  </si>
  <si>
    <t xml:space="preserve">Décembre</t>
  </si>
  <si>
    <t xml:space="preserve">Scanner ou smartphone</t>
  </si>
  <si>
    <t xml:space="preserve">Numériser attestations de chaudière, certificats de ramonage, bordereaux de vidange, rapports de contrôle. Conserver au moins 5 ans : c'est ce que l'assureur réclame après un sinistre.</t>
  </si>
  <si>
    <t xml:space="preserve">Sans justificatif, l'assureur peut réduire ou refuser l'indemnisation</t>
  </si>
  <si>
    <t xml:space="preserve">T-117</t>
  </si>
  <si>
    <t xml:space="preserve">Clipser la façade, retirer les filtres, laver à l'eau tiède, sécher complètement à l'ombre. Un filtre remonté humide devient un nid à moisissures.</t>
  </si>
  <si>
    <t xml:space="preserve">Débit réduit, odeurs, allergenes rediffusés dans le logement</t>
  </si>
  <si>
    <t xml:space="preserve">T-118</t>
  </si>
  <si>
    <t xml:space="preserve">Entretien biennal du split</t>
  </si>
  <si>
    <t xml:space="preserve">Avril, avant la saison</t>
  </si>
  <si>
    <t xml:space="preserve">Contrôle d'étanchéité du circuit, désinfection de l'échangeur et du bac à condensats, contrôle des pressions et du serrage électrique.</t>
  </si>
  <si>
    <t xml:space="preserve">Obligation légale ; fuite de fluide frigorigene à fort pouvoir réchauffant</t>
  </si>
  <si>
    <t xml:space="preserve">T-119</t>
  </si>
  <si>
    <t xml:space="preserve">Debouchage de l'évacuation des condensats</t>
  </si>
  <si>
    <t xml:space="preserve">Souffleur, eau claire</t>
  </si>
  <si>
    <t xml:space="preserve">Vérifier que le tuyau de condensats s'écoulé librement. Un bouchon d'algues provoque un débordement dans le mur.</t>
  </si>
  <si>
    <t xml:space="preserve">Dégât des eaux derrière l'unité intérieure, taches au plafond de l'étage inférieur</t>
  </si>
  <si>
    <t xml:space="preserve">T-120</t>
  </si>
  <si>
    <t xml:space="preserve">Nettoyage du filtre et du bac du climatiseur mobile</t>
  </si>
  <si>
    <t xml:space="preserve">Tous les mois en usage</t>
  </si>
  <si>
    <t xml:space="preserve">Juin à septembre</t>
  </si>
  <si>
    <t xml:space="preserve">Eau tiède</t>
  </si>
  <si>
    <t xml:space="preserve">Rincer le filtre, vider le bac de condensats, vérifier que la gaine d'évacuation n'est pas pliée.</t>
  </si>
  <si>
    <t xml:space="preserve">Eau stagnante, odeurs, rendement de refroidissement divisé</t>
  </si>
  <si>
    <t xml:space="preserve">T-121</t>
  </si>
  <si>
    <t xml:space="preserve">Contrôle annuel d'étanchéité du circuit frigorifique</t>
  </si>
  <si>
    <t xml:space="preserve">Opérateur certifié, détecteur de fuite</t>
  </si>
  <si>
    <t xml:space="preserve">Contrôle obligatoire des 5 t CO2 eq de charge. Le professionnel renseigne la fiche d'intervention CERFA 15497.</t>
  </si>
  <si>
    <t xml:space="preserve">Sanction administrative ; une fuite de R410A équivaut à plusieurs tonnes de CO2</t>
  </si>
  <si>
    <t xml:space="preserve">T-122</t>
  </si>
  <si>
    <t xml:space="preserve">Entretien biennal de la PAC geothermique</t>
  </si>
  <si>
    <t xml:space="preserve">Pro qualifié geothermie</t>
  </si>
  <si>
    <t xml:space="preserve">Contrôle du circuit de captage, de la pression et du taux de glycol, des échangeurs et du circulateur.</t>
  </si>
  <si>
    <t xml:space="preserve">Obligation légale ; déperdition du champ de captage difficile à diagnostiquer tardivement</t>
  </si>
  <si>
    <t xml:space="preserve">T-123</t>
  </si>
  <si>
    <t xml:space="preserve">Contrôle du collecteur de plancher chauffant</t>
  </si>
  <si>
    <t xml:space="preserve">Clé de purge, chiffon</t>
  </si>
  <si>
    <t xml:space="preserve">Purger le collecteur, vérifier les debitmetres boucle par boucle et l'absence de suintement aux raccords.</t>
  </si>
  <si>
    <t xml:space="preserve">Boucles déséquilibrées, zones froides, colmatage progressif</t>
  </si>
  <si>
    <t xml:space="preserve">T-124</t>
  </si>
  <si>
    <t xml:space="preserve">Contrôle périodique de la citerne GPL</t>
  </si>
  <si>
    <t xml:space="preserve">Selon le contrat de fourniture</t>
  </si>
  <si>
    <t xml:space="preserve">Le contrôle est assuré par le distributeur dans le cadre du contrat. Vérifier que l'échéance figure bien au contrat et relancer si le passage n'a pas lieu.</t>
  </si>
  <si>
    <t xml:space="preserve">Risque d'explosion ; résiliation possible du contrat de fourniture</t>
  </si>
  <si>
    <t xml:space="preserve">T-125</t>
  </si>
  <si>
    <t xml:space="preserve">Remplacement des piles du thermostat</t>
  </si>
  <si>
    <t xml:space="preserve">Piles alcalines</t>
  </si>
  <si>
    <t xml:space="preserve">Remplacer avant la saison de chauffe. Sur thermostat connecté, vérifier aussi la liaison avec la chaudière après remplacement.</t>
  </si>
  <si>
    <t xml:space="preserve">Perte de liaison = chaudière qui tourne en continu ou reste éteinte</t>
  </si>
  <si>
    <t xml:space="preserve">T-126</t>
  </si>
  <si>
    <t xml:space="preserve">Entretien annuel du chauffe-eau gaz</t>
  </si>
  <si>
    <t xml:space="preserve">Pro qualifié PG</t>
  </si>
  <si>
    <t xml:space="preserve">Nettoyage du brûleur et du corps de chauffe, contrôle du tirage et de l'évacuation des fumées, mesure du taux de CO.</t>
  </si>
  <si>
    <t xml:space="preserve">Intoxication au monoxyde de carbone</t>
  </si>
  <si>
    <t xml:space="preserve">T-127</t>
  </si>
  <si>
    <t xml:space="preserve">Remplacement du groupe de sécurité</t>
  </si>
  <si>
    <t xml:space="preserve">Groupe de sécurité neuf, plombier</t>
  </si>
  <si>
    <t xml:space="preserve">Pièce d'usure à remplacer préventivement, même si elle fonctionne encore. À coupler avec le détartrage du ballon.</t>
  </si>
  <si>
    <t xml:space="preserve">Clapet grippé = surpression et risque d'éclatement du ballon</t>
  </si>
  <si>
    <t xml:space="preserve">T-128</t>
  </si>
  <si>
    <t xml:space="preserve">Contrôle du puits canadien</t>
  </si>
  <si>
    <t xml:space="preserve">Pro ou particulier équipé</t>
  </si>
  <si>
    <t xml:space="preserve">Vérifier l'évacuation des condensats, nettoyer le filtre de la borne de prise d'air et contrôler l'absence d'eau stagnante dans le conduit.</t>
  </si>
  <si>
    <t xml:space="preserve">Eau stagnante = développement microbien diffuse dans tout le logement</t>
  </si>
  <si>
    <t xml:space="preserve">T-129</t>
  </si>
  <si>
    <t xml:space="preserve">Remplacement du filtre à charbon de la cave à vin</t>
  </si>
  <si>
    <t xml:space="preserve">Le filtre assure le renouvellement d'air sans transmettre d'odeurs. Nettoyer également le bac de récupération d'eau.</t>
  </si>
  <si>
    <t xml:space="preserve">Hygrometrie instable, odeurs transmises aux bouchons</t>
  </si>
  <si>
    <t xml:space="preserve">T-130</t>
  </si>
  <si>
    <t xml:space="preserve">Entretien combiné du lave-linge séchant</t>
  </si>
  <si>
    <t xml:space="preserve">Trimestriel</t>
  </si>
  <si>
    <t xml:space="preserve">Brosse, acide citrique</t>
  </si>
  <si>
    <t xml:space="preserve">Cumuler les gestes du lave-linge et du sèche-linge : filtre de vidange, joint de hublot, condenseur et détartrage.</t>
  </si>
  <si>
    <t xml:space="preserve">Usure accélérée, cycles de séchage interminables</t>
  </si>
  <si>
    <t xml:space="preserve">T-131</t>
  </si>
  <si>
    <t xml:space="preserve">Nettoyage de la ventilation de la plaque à induction</t>
  </si>
  <si>
    <t xml:space="preserve">Aspirateur à embout fin</t>
  </si>
  <si>
    <t xml:space="preserve">Aspirer la grille de ventilation sous le plan de travail ou en façade de meuble. L'électronique d'induction chauffe et doit respirer.</t>
  </si>
  <si>
    <t xml:space="preserve">Surchauffe de l'électronique, coupures en cours de cuisson, carte à remplacer</t>
  </si>
  <si>
    <t xml:space="preserve">T-132</t>
  </si>
  <si>
    <t xml:space="preserve">Contrôle du joint de porte du micro-ondes</t>
  </si>
  <si>
    <t xml:space="preserve">Inspecter le pourtour de la porte et la grille : ni déformation, ni corrosion, ni jeu à la fermeture.</t>
  </si>
  <si>
    <t xml:space="preserve">Fuite de micro-ondes si le joint ou la charnière est abîmé</t>
  </si>
  <si>
    <t xml:space="preserve">T-133</t>
  </si>
  <si>
    <t xml:space="preserve">Remplacement des filtres du purificateur d'air</t>
  </si>
  <si>
    <t xml:space="preserve">Tous les 6 à 12 mois</t>
  </si>
  <si>
    <t xml:space="preserve">Jeu de filtres d'origine</t>
  </si>
  <si>
    <t xml:space="preserve">Noter la date au feutre sur le filtre neuf. Le prefiltre lavable se rince tous les mois, le HEPA se remplace.</t>
  </si>
  <si>
    <t xml:space="preserve">Filtre saturé = rejet des particules accumulées dans la pièce</t>
  </si>
  <si>
    <t xml:space="preserve">T-134</t>
  </si>
  <si>
    <t xml:space="preserve">Nettoyage du réservoir et du filtre du deshumidificateur</t>
  </si>
  <si>
    <t xml:space="preserve">Eau savonneuse</t>
  </si>
  <si>
    <t xml:space="preserve">Vider et laver le réservoir, rincer le filtre à l'entrée d'air, vérifier que la sonde d'hygrometrie n'est pas encrassée.</t>
  </si>
  <si>
    <t xml:space="preserve">Développement bactérien dans le bac, air rejeté vicié</t>
  </si>
  <si>
    <t xml:space="preserve">T-135</t>
  </si>
  <si>
    <t xml:space="preserve">Détartrage de la centrale vapeur</t>
  </si>
  <si>
    <t xml:space="preserve">Eau demineralisee, détartrant</t>
  </si>
  <si>
    <t xml:space="preserve">Lancer le cycle de rinçage de la chaudière prévu par le fabricant. Utiliser de l'eau demineralisee si l'eau du réseau dépasse 25 degrés français.</t>
  </si>
  <si>
    <t xml:space="preserve">Projection de calcaire sur le linge puis panne de la chaudière</t>
  </si>
  <si>
    <t xml:space="preserve">T-136</t>
  </si>
  <si>
    <t xml:space="preserve">Relevé mensuel du compteur d'eau</t>
  </si>
  <si>
    <t xml:space="preserve">Photo du compteur</t>
  </si>
  <si>
    <t xml:space="preserve">Photographier l'index chaque mois. Un écart inexpliqué signale une fuite bien avant la facture de régularisation.</t>
  </si>
  <si>
    <t xml:space="preserve">Fuite enterrée facturée au plein tarif pendant des mois</t>
  </si>
  <si>
    <t xml:space="preserve">T-137</t>
  </si>
  <si>
    <t xml:space="preserve">Déclaration et contrôle du puits ou forage</t>
  </si>
  <si>
    <t xml:space="preserve">Déclaration unique ; contrôle selon la commune</t>
  </si>
  <si>
    <t xml:space="preserve">CERFA 13837</t>
  </si>
  <si>
    <t xml:space="preserve">Déclarer l'ouvrage en mairie. Si le puits alimente le réseau intérieur, un contrôle du service des eaux est requis et une séparation stricte des réseaux est obligatoire.</t>
  </si>
  <si>
    <t xml:space="preserve">Amende ; obligation de déconnexion du réseau intérieur</t>
  </si>
  <si>
    <t xml:space="preserve">T-138</t>
  </si>
  <si>
    <t xml:space="preserve">Contrôle de la pression du surpresseur</t>
  </si>
  <si>
    <t xml:space="preserve">Couper la pompe, vidanger, contrôler la pression de gonflage du vase (généralement 0,2 bar sous la pression d'enclenchement) et regonfler.</t>
  </si>
  <si>
    <t xml:space="preserve">Cycles courts à répétition = usure rapide de la pompe et du contacteur</t>
  </si>
  <si>
    <t xml:space="preserve">T-139</t>
  </si>
  <si>
    <t xml:space="preserve">Contrôle du ballon tampon</t>
  </si>
  <si>
    <t xml:space="preserve">Pendant l'entretien de la chaudière</t>
  </si>
  <si>
    <t xml:space="preserve">Contrôle de la pression, de l'isolation et de l'anode si le ballon en est équipé.</t>
  </si>
  <si>
    <t xml:space="preserve">Corrosion interne, perte de stratification et donc de rendement</t>
  </si>
  <si>
    <t xml:space="preserve">T-140</t>
  </si>
  <si>
    <t xml:space="preserve">Curage préventif des canalisations</t>
  </si>
  <si>
    <t xml:space="preserve">Tous les 2 à 3 ans</t>
  </si>
  <si>
    <t xml:space="preserve">Entreprise de curage</t>
  </si>
  <si>
    <t xml:space="preserve">Hydrocurage des collecteurs depuis les regards. Profiter du passage pour faire inspecter à la caméra si la maison à plus de 40 ans.</t>
  </si>
  <si>
    <t xml:space="preserve">Bouchon, refoulement d'eaux usées dans le logement</t>
  </si>
  <si>
    <t xml:space="preserve">T-141</t>
  </si>
  <si>
    <t xml:space="preserve">Contrôle de la batterie de stockage</t>
  </si>
  <si>
    <t xml:space="preserve">Relevé de l'état de santé (SOH), contrôle de la ventilation du local et des connexions de puissance, mise à jour du firmware.</t>
  </si>
  <si>
    <t xml:space="preserve">Perte de capacité non détectée, risque thermique en cas de défaut cellule</t>
  </si>
  <si>
    <t xml:space="preserve">T-142</t>
  </si>
  <si>
    <t xml:space="preserve">Diagnostic de l'installation intérieure de gaz</t>
  </si>
  <si>
    <t xml:space="preserve">À la vente (3 ans) ou à la mise en location (6 ans)</t>
  </si>
  <si>
    <t xml:space="preserve">Avant signature</t>
  </si>
  <si>
    <t xml:space="preserve">Obligatoire si l'installation à plus de 15 ans. Contrôle de la tuyauterie fixe, du raccordement des appareils, de la ventilation et de l'évacuation des produits de combustion.</t>
  </si>
  <si>
    <t xml:space="preserve">Vente bloquée ; responsabilité du vendeur pour vice caché</t>
  </si>
  <si>
    <t xml:space="preserve">T-143</t>
  </si>
  <si>
    <t xml:space="preserve">Vérification annuelle de l'extincteur</t>
  </si>
  <si>
    <t xml:space="preserve">Société de maintenance incendie</t>
  </si>
  <si>
    <t xml:space="preserve">Contrôle de la pression, de la goupille et de l'état du flexible, apposition de l'étiquette datée. Requalification complète tous les 10 ans.</t>
  </si>
  <si>
    <t xml:space="preserve">Extincteur inopérant au moment ou il sert</t>
  </si>
  <si>
    <t xml:space="preserve">T-144</t>
  </si>
  <si>
    <t xml:space="preserve">Nettoyage et contrôle des caméras</t>
  </si>
  <si>
    <t xml:space="preserve">Nettoyer les optiques et les capteurs infrarouges, vérifier le cadrage après les tempêtes, purger les enregistrements anciens conformément au RGPD.</t>
  </si>
  <si>
    <t xml:space="preserve">Images inexploitables au moment ou on en à besoin</t>
  </si>
  <si>
    <t xml:space="preserve">T-145</t>
  </si>
  <si>
    <t xml:space="preserve">Entretien de la platine de rue</t>
  </si>
  <si>
    <t xml:space="preserve">Chiffon, graisse silicone pour joints</t>
  </si>
  <si>
    <t xml:space="preserve">Nettoyer l'objectif et le clavier, vérifier l'étanchéité du capot et graisser le joint. La platine est exposée en permanence aux intempéries.</t>
  </si>
  <si>
    <t xml:space="preserve">Corrosion des contacts, platine muette</t>
  </si>
  <si>
    <t xml:space="preserve">T-146</t>
  </si>
  <si>
    <t xml:space="preserve">Entretien du store banne</t>
  </si>
  <si>
    <t xml:space="preserve">Brosse douce, savon neutre, graisse silicone</t>
  </si>
  <si>
    <t xml:space="preserve">Brosser la toile déployée et sèche, graisser les articulations des bras. Ne jamais enrouler une toile humide.</t>
  </si>
  <si>
    <t xml:space="preserve">Toile moisie à remplacer, bras bloqués, casse au premier coup de vent</t>
  </si>
  <si>
    <t xml:space="preserve">T-147</t>
  </si>
  <si>
    <t xml:space="preserve">Entretien biennal de la PAC de piscine</t>
  </si>
  <si>
    <t xml:space="preserve">Avril, à la remise en service</t>
  </si>
  <si>
    <t xml:space="preserve">Contrôle d'étanchéité du circuit frigorifique, nettoyage de l'evaporateur, contrôle du débit d'eau et du condenseur.</t>
  </si>
  <si>
    <t xml:space="preserve">Obligation légale ; échangeur entartré et fuite de fluide</t>
  </si>
  <si>
    <t xml:space="preserve">T-148</t>
  </si>
  <si>
    <t xml:space="preserve">Entretien du robot de piscine</t>
  </si>
  <si>
    <t xml:space="preserve">Après chaque usage (filtre) / annuel (brosses)</t>
  </si>
  <si>
    <t xml:space="preserve">Jet d'eau claire</t>
  </si>
  <si>
    <t xml:space="preserve">Rincer le filtre à l'eau claire après chaque session, vérifier les brosses et les chenilles, stocker à l'ombre et hors gel.</t>
  </si>
  <si>
    <t xml:space="preserve">Moteur encrassé, courroies rompues, appareil rarement réparable</t>
  </si>
  <si>
    <t xml:space="preserve">T-149</t>
  </si>
  <si>
    <t xml:space="preserve">Révision du taille-haie et de la debroussailleuse</t>
  </si>
  <si>
    <t xml:space="preserve">Mars</t>
  </si>
  <si>
    <t xml:space="preserve">Lime, huile de lame, filtre à air, bougie</t>
  </si>
  <si>
    <t xml:space="preserve">Affûter et huiler les lames, remplacer le filtre à air et la bougie, vérifier le fil ou la lame de coupe.</t>
  </si>
  <si>
    <t xml:space="preserve">Lames grippées, moteur noyé, coupe qui déchiré la végétation</t>
  </si>
  <si>
    <t xml:space="preserve">T-150</t>
  </si>
  <si>
    <t xml:space="preserve">Traitement du bois de l'abri de jardin</t>
  </si>
  <si>
    <t xml:space="preserve">Mai à juin, par temps sec</t>
  </si>
  <si>
    <t xml:space="preserve">Lasure ou saturateur, brosse, ponceuse</t>
  </si>
  <si>
    <t xml:space="preserve">Poncer légèrement, dépoussiérer, appliquer deux couches. Traiter en priorité les lisses basses et les pieds de poteaux, au contact du sol.</t>
  </si>
  <si>
    <t xml:space="preserve">Pourrissement des pieds de poteaux et de la toiture, structure à remplacer</t>
  </si>
  <si>
    <t xml:space="preserve">T-151</t>
  </si>
  <si>
    <t xml:space="preserve">Contrôle de la façade et des points singuliers</t>
  </si>
  <si>
    <t xml:space="preserve">Après l'hiver</t>
  </si>
  <si>
    <t xml:space="preserve">Chercher fissures, cloques d'enduit, joints dégradés autour des menuiseries et traces de ruissellement sous les appuis de fenêtre.</t>
  </si>
  <si>
    <t xml:space="preserve">Infiltration par microfissure ; ravalement pouvant être imposé par arrêté municipal</t>
  </si>
  <si>
    <t xml:space="preserve">T-152</t>
  </si>
  <si>
    <t xml:space="preserve">Contrôle technique de la voiture</t>
  </si>
  <si>
    <t xml:space="preserve">Tous les 2 ans (1er dans les 6 mois avant le 4e anniversaire)</t>
  </si>
  <si>
    <t xml:space="preserve">Centre de contrôle agréé, carte grise</t>
  </si>
  <si>
    <t xml:space="preserve">La date de première immatriculation figure sur la carte grise (champ B) : l'échéance en découle. Prendre rendez-vous dans le mois qui précède. En cas de contre-visite, les réparations doivent être contrôlées dans les 2 mois.</t>
  </si>
  <si>
    <t xml:space="preserve">T-153</t>
  </si>
  <si>
    <t xml:space="preserve">Contrôle technique du deux-roues</t>
  </si>
  <si>
    <t xml:space="preserve">Tous les 3 ans (1er entre 4,5 et 5 ans après la 1re immatriculation)</t>
  </si>
  <si>
    <t xml:space="preserve">Centre de contrôle agréé catégorie L, carte grise</t>
  </si>
  <si>
    <t xml:space="preserve">L'échéance dépend de la date de première immatriculation (carte grise, champ B). Les véhicules immatriculés avant 2022 suivent un calendrier transitoire. Choisir un centre agréé pour la catégorie L.</t>
  </si>
  <si>
    <t xml:space="preserve">T-154</t>
  </si>
  <si>
    <t xml:space="preserve">Révision annuelle du vélo électrique</t>
  </si>
  <si>
    <t xml:space="preserve">Réparateur vélo</t>
  </si>
  <si>
    <t xml:space="preserve">Contrôle des freins, de la transmission et des pneus, mise à jour du moteur si le fabricant la propose. Entre deux périodes d'usage, stocker la batterie à mi-charge, au sec et à température ambiante.</t>
  </si>
  <si>
    <t xml:space="preserve">Freinage dégradé, usure accélérée de la transmission, batterie qui perd de sa capacité</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</si>
  <si>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</si>
  <si>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</si>
  <si>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</si>
  <si>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</si>
  <si>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</si>
  <si>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</si>
  <si>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</si>
  <si>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</si>
  <si>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</si>
  <si>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</si>
  <si>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</si>
  <si>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</si>
  <si>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</si>
  <si>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</si>
  <si>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</si>
  <si>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</si>
  <si>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</si>
  <si>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</si>
  <si>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</si>
  <si>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</si>
  <si>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</si>
  <si>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</si>
  <si>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</si>
  <si>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</si>
  <si>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</si>
  <si>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</si>
  <si>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</si>
  <si>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</si>
  <si>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</si>
  <si>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</si>
  <si>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</si>
  <si>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</si>
  <si>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</si>
  <si>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</si>
  <si>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</si>
  <si>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</si>
  <si>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</si>
  <si>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</si>
  <si>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</si>
  <si>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</si>
  <si>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</si>
  <si>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</si>
  <si>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</si>
  <si>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</si>
  <si>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</si>
  <si>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</si>
  <si>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</si>
  <si>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</si>
  <si>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</si>
  <si>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</si>
  <si>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</si>
  <si>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</si>
  <si>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</si>
  <si>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</si>
  <si>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</si>
  <si>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</si>
  <si>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</si>
  <si>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</si>
  <si>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</si>
  <si>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</si>
  <si>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</si>
  <si>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</si>
  <si>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</si>
  <si>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</si>
  <si>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</si>
  <si>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</si>
  <si>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</si>
  <si>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</si>
  <si>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</si>
  <si>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</si>
  <si>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</si>
  <si>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</si>
  <si>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</si>
  <si>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</si>
  <si>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</si>
  <si>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</si>
  <si>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</si>
  <si>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</si>
  <si>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</si>
  <si>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</si>
  <si>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</si>
  <si>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</si>
  <si>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</si>
  <si>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</si>
  <si>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</si>
  <si>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</si>
  <si>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</si>
  <si>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</si>
  <si>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</si>
  <si>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</si>
  <si>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</si>
  <si>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</si>
  <si>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</si>
  <si>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</si>
  <si>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</si>
  <si>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</si>
  <si>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</si>
  <si>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</si>
  <si>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</si>
  <si>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</si>
  <si>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</si>
  <si>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</si>
  <si>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</si>
  <si>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</si>
  <si>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</si>
  <si>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</si>
  <si>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</si>
  <si>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</si>
  <si>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</si>
  <si>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</si>
  <si>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</si>
  <si>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</si>
  <si>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</si>
  <si>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</si>
  <si>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</si>
  <si>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</si>
  <si>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</si>
  <si>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</si>
  <si>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bouton comme les autres, en dernière position.</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</si>
  <si>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</si>
  <si>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</si>
  <si>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</si>
  <si>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</si>
  <si>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</si>
  <si>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</si>
  <si>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</si>
  <si>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</si>
  <si>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</si>
  <si>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</si>
  <si>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</si>
  <si>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</si>
  <si>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</si>
  <si>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</si>
  <si>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</si>
  <si>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</si>
  <si>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Q19</t>
  </si>
  <si>
    <t xml:space="preserve">Entretien</t>
  </si>
  <si>
    <t xml:space="preserve">Vos obligations légales sont prêtes. Voulez-vous aussi suivre l'entretien de vos autres appareils, pour les faire durer ?</t>
  </si>
  <si>
    <t xml:space="preserve">Oui, je les ajoute</t>
  </si>
  <si>
    <t xml:space="preserve">Réfrigérateur, lave-linge, lave-vaisselle… : vous cocherez ceux que vous avez.</t>
  </si>
  <si>
    <t xml:space="preserve">Non, plus tard</t>
  </si>
  <si>
    <t xml:space="preserve">Le lieu reste au niveau Aucun : seules les obligations légales sont suivies. Activable à tout moment depuis la page du lieu.</t>
  </si>
  <si>
    <t xml:space="preserve">maintenance_level = none</t>
  </si>
  <si>
    <t xml:space="preserve">Q20</t>
  </si>
  <si>
    <t xml:space="preserve">Quels appareils avez-vous ?</t>
  </si>
  <si>
    <t xml:space="preserve">Cases a cocher</t>
  </si>
  <si>
    <t xml:space="preserve">Q19 = Non, plus tard</t>
  </si>
  <si>
    <t xml:space="preserve">Sèche-linge</t>
  </si>
  <si>
    <t xml:space="preserve">Four</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</si>
  <si>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</si>
  <si>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</si>
  <si>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</si>
  <si>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</si>
  <si>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</si>
  <si>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</si>
  <si>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Recommandé dès qu'un appareil à combustion est présent.</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</si>
  <si>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</si>
  <si>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</si>
  <si>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</si>
  <si>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</si>
  <si>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</si>
  <si>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</si>
  <si>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</si>
  <si>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ou je ne sais pas (un seul bouton, en dernier).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</si>
  <si>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</si>
  <si>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</si>
  <si>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</si>
  <si>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</si>
  <si>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</si>
  <si>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</si>
  <si>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</si>
  <si>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</si>
  <si>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</si>
  <si>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</si>
  <si>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</si>
  <si>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</si>
  <si>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</si>
  <si>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</si>
  <si>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</si>
  <si>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</si>
  <si>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</si>
  <si>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</si>
  <si>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</si>
  <si>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</si>
  <si>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</si>
  <si>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</si>
  <si>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</si>
  <si>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</si>
  <si>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</si>
  <si>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</si>
  <si>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</si>
  <si>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</si>
  <si>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</si>
  <si>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</si>
  <si>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</si>
  <si>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</si>
  <si>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</si>
  <si>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</si>
  <si>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</si>
  <si>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</si>
  <si>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</si>
  <si>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</si>
  <si>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</si>
  <si>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</si>
  <si>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</si>
  <si>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</si>
  <si>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</si>
  <si>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</si>
  <si>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</si>
  <si>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</si>
  <si>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</si>
  <si>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</si>
  <si>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</si>
  <si>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</si>
  <si>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</si>
  <si>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</si>
  <si>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</si>
  <si>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</si>
  <si>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</si>
  <si>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</si>
  <si>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</si>
  <si>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</si>
  <si>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</si>
  <si>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</si>
  <si>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</si>
  <si>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</si>
  <si>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</si>
  <si>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</si>
  <si>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</si>
  <si>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</si>
  <si>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ou « Je ne trouve pas la date » (à confirmer). La date donnée devient l'échéance.</t>
  </si>
  <si>
    <t xml:space="preserve">Détecteur de fumée</t>
  </si>
  <si>
    <t xml:space="preserve">Quelle date est imprimée au dos du détecteur ?</t>
  </si>
  <si>
    <t xml:space="preserve">Fabrication</t>
  </si>
  <si>
    <t xml:space="preserve">Explication affichée : un détecteur se remplace 10 ans après sa fabrication. Mois et année, ou « Je ne la trouve pas » (à confirmer). Échéance = date + 10 ans.</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</si>
  <si>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</si>
  <si>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</si>
  <si>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</si>
  <si>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</si>
  <si>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</si>
  <si>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</si>
  <si>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</si>
  <si>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</si>
  <si>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</si>
  <si>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</si>
  <si>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</si>
  <si>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</si>
  <si>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</si>
  <si>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</si>
  <si>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</si>
  <si>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</si>
  <si>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</si>
  <si>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</si>
  <si>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</si>
  <si>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</si>
  <si>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</si>
  <si>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</si>
  <si>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</si>
  <si>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</si>
  <si>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</si>
  <si>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</si>
  <si>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</si>
  <si>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</si>
  <si>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</si>
  <si>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(référence modèle), FD (date de fabrication), Z-Nr / n. de série</t>
  </si>
  <si>
    <t xml:space="preserve">E-Nr : alphanumérique terminé par / et 1 à 2 chiffres (ex. B57CR22N0/01). FD : 4 chiffres</t>
  </si>
  <si>
    <t xml:space="preserve">Année = 2 premiers chiffres du FD + 1920 ; mois = 2 derniers (FD 9405 = mai 2014). Règle publiée jusqu'à FD 9912 (dec. 2019) : format postérieur à confirmer auprès de BSH</t>
  </si>
  <si>
    <t xml:space="preserve">Localisateur officiel par catégorie sur les sites de chaque marque ; en général au niveau de la porte</t>
  </si>
  <si>
    <t xml:space="preserve">Bosch propose déjà la lecture photo de sa plaque sur son site : preuve de faisabilité et benchmark</t>
  </si>
  <si>
    <t xml:space="preserve">https://www.bosch-home.fr/france/localiser-plaque-signaletique ; https://www.neff-home.com/fr/promotions/plaque-signaletique</t>
  </si>
  <si>
    <t xml:space="preserve">Vérifié (source officielle)</t>
  </si>
  <si>
    <t xml:space="preserve">Miele</t>
  </si>
  <si>
    <t xml:space="preserve">Tout le gros électroménager</t>
  </si>
  <si>
    <t xml:space="preserve">Référence du modèle, numéro de matériel, numéro de fabrication, numéro de série</t>
  </si>
  <si>
    <t xml:space="preserve">Format propre à Miele</t>
  </si>
  <si>
    <t xml:space="preserve">À documenter</t>
  </si>
  <si>
    <t xml:space="preserve">Tables de cuisson : plaque SOUS l'appareil</t>
  </si>
  <si>
    <t xml:space="preserve">Une 2e plaque est fournie pour être collée dans le mode d'emploi : c'est elle qu'il faut photographier pour une table encastrée</t>
  </si>
  <si>
    <t xml:space="preserve">https://www.miele.fr/c/plate-finder.htm</t>
  </si>
  <si>
    <t xml:space="preserve">Liebherr</t>
  </si>
  <si>
    <t xml:space="preserve">Réfrigérateurs, congélateurs, caves à vin</t>
  </si>
  <si>
    <t xml:space="preserve">Service no. et Serial no.</t>
  </si>
  <si>
    <t xml:space="preserve">Numéro à 9 chiffres (selon Liebherr)</t>
  </si>
  <si>
    <t xml:space="preserve">Plaque à l'intérieur de l'appareil</t>
  </si>
  <si>
    <t xml:space="preserve">Modèles à écran : plaque signalétique numérique dans Réglages &gt; Informations. Une capture de l'écran suffit, sans chercher la plaque</t>
  </si>
  <si>
    <t xml:space="preserve">https://www.liebherr.com/fr-fr/refrigerateurs-congelateurs/plaque-signaletique-3042050</t>
  </si>
  <si>
    <t xml:space="preserve">Samsung</t>
  </si>
  <si>
    <t xml:space="preserve">Lavage, froid, cuisson, climatisation</t>
  </si>
  <si>
    <t xml:space="preserve">Code modèle, n. de série (S/N)</t>
  </si>
  <si>
    <t xml:space="preserve">Format propre à Samsung</t>
  </si>
  <si>
    <t xml:space="preserve">Froid : paroi gauche, intérieure ou extérieure. Lavage frontal : cadre de porte près du joint, sinon étiquette au dos</t>
  </si>
  <si>
    <t xml:space="preserve">Sur certains réfrigérateurs, le numéro de l'autocollant extérieur est un numéro de contrôle usine, pas le n. de série : lire l'étiquette intérieure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</si>
  <si>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</si>
  <si>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</si>
  <si>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Modèle, n. de série</t>
  </si>
  <si>
    <t xml:space="preserve">Format propre à LG</t>
  </si>
  <si>
    <t xml:space="preserve">Lavage frontal : étiquette argentée autour de l'ouverture du tambour, en général en haut. Chargement par le haut : au dos ou côté droit. Froid : paroi intérieure gauche (modèles récents),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</si>
  <si>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</si>
  <si>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</si>
  <si>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</si>
  <si>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</si>
  <si>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série</t>
  </si>
  <si>
    <t xml:space="preserve">Code service : 12 chiffres commençant par 85</t>
  </si>
  <si>
    <t xml:space="preserve">Plaque visible porte ouverte (lavage), paroi intérieure (froid)</t>
  </si>
  <si>
    <t xml:space="preserve">Ikea : le fabricant réel varie selon le modèle, le format de l'identifiant révèle lequel. Activités européennes de Whirlpool reprises par Beko Europe</t>
  </si>
  <si>
    <t xml:space="preserve">https://www.boulanger.com/ref/9000518317</t>
  </si>
  <si>
    <t xml:space="preserve">Source secondaire (distributeur)</t>
  </si>
  <si>
    <t xml:space="preserve">Ex-Indesit Company</t>
  </si>
  <si>
    <t xml:space="preserve">Indesit, Hotpoint, Ariston (électroménager), Scholtes</t>
  </si>
  <si>
    <t xml:space="preserve">Modèle, code article, n. de série</t>
  </si>
  <si>
    <t xml:space="preserve">Code article : F suivi de 6 chiffres (ex. F078786) ; productions récentes : code numérique à 12 chiffres</t>
  </si>
  <si>
    <t xml:space="preserve">Deux générations de formats coexistent dans le parc installé</t>
  </si>
  <si>
    <t xml:space="preserve">https://www.boulanger.com/ref/9000542389</t>
  </si>
  <si>
    <t xml:space="preserve">Source secondaire (à confirmer)</t>
  </si>
  <si>
    <t xml:space="preserve">Electrolux</t>
  </si>
  <si>
    <t xml:space="preserve">Electrolux, AEG, Zanussi, Faure, Arthur Martin</t>
  </si>
  <si>
    <t xml:space="preserve">Modèle, PNC (code produit), n. de série</t>
  </si>
  <si>
    <t xml:space="preserve">PNC numérique : longueur à confirmer avant d'en faire une règle de validation</t>
  </si>
  <si>
    <t xml:space="preserve">Cadre du hublot (lavage), chant de porte (lave-vaisselle), paroi intérieure (froid)</t>
  </si>
  <si>
    <t xml:space="preserve">Le PNC est indispensable pour commander une pièce détachée d'origine</t>
  </si>
  <si>
    <t xml:space="preserve">https://notices.underdog.shop/user-manuals/7332543124978-8da7de9f-4c2d-48eb-9c88-224de49afc0f.pdf</t>
  </si>
  <si>
    <t xml:space="preserve">Partiellement vérifié (notice fabricant)</t>
  </si>
  <si>
    <t xml:space="preserve">Vaillant Group</t>
  </si>
  <si>
    <t xml:space="preserve">Saunier Duval, Vaillant</t>
  </si>
  <si>
    <t xml:space="preserve">Chaudières, chauffe-eau, PAC</t>
  </si>
  <si>
    <t xml:space="preserve">Gamme et modèle, n. de série, puissance, année</t>
  </si>
  <si>
    <t xml:space="preserve">Format propre au fabricant</t>
  </si>
  <si>
    <t xml:space="preserve">Chaudière : sous le capot avant ou sur le flanc. Chauffe-eau : côté ou arrière</t>
  </si>
  <si>
    <t xml:space="preserve">Ne jamais déposer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</si>
  <si>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</si>
  <si>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</si>
  <si>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</si>
  <si>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</si>
  <si>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</si>
  <si>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Modèle, n. de série, puissance, type de fluide, charge en kg et en t eq. CO2, mention hermétiquement scellé</t>
  </si>
  <si>
    <t xml:space="preserve">Charge x PRG du fluide = t eq. CO2 : seuil de contrôle d'étanchéité à 5 t eq. CO2</t>
  </si>
  <si>
    <t xml:space="preserve">En résidentiel, un équipement étiqueté hermétiquement scellé contenant moins de 3 kg de gaz fluores est exempte de contrôle d'étanchéité</t>
  </si>
  <si>
    <t xml:space="preserve">http://data.europa.eu/eli/reg/2024/573/oj ; https://œil.europarl.europa.eu/œil/fr/document-summary?id=1772308</t>
  </si>
  <si>
    <t xml:space="preserve">Vérifié (texte réglementaire) ; emplacements génériques</t>
  </si>
  <si>
    <t xml:space="preserve">Beko Europe (Arcelik)</t>
  </si>
  <si>
    <t xml:space="preserve">Beko, Grundig</t>
  </si>
  <si>
    <t xml:space="preserve">Emplacements génériques par catégorie</t>
  </si>
  <si>
    <t xml:space="preserve">Haier Europe</t>
  </si>
  <si>
    <t xml:space="preserve">Haier, Candy, Hoover, Rosières</t>
  </si>
  <si>
    <t xml:space="preserve">Groupe Brandt</t>
  </si>
  <si>
    <t xml:space="preserve">Brandt, De Dietrich (électroménager), Sauter, Vedette</t>
  </si>
  <si>
    <t xml:space="preserve">Groupe Atlantic</t>
  </si>
  <si>
    <t xml:space="preserve">Atlantic, Thermor, Sauter (chauffage), Ygnis</t>
  </si>
  <si>
    <t xml:space="preserve">Chauffe-eau, PAC, radiateurs, chaudières</t>
  </si>
  <si>
    <t xml:space="preserve">Chauffe-eau : enveloppe du ballon, près du capot électrique</t>
  </si>
  <si>
    <t xml:space="preserve">Chauffage : autres fabricants</t>
  </si>
  <si>
    <t xml:space="preserve">Frisquet, De Dietrich thermique, Chappee, Elm Leblanc, Viessmann, Chaffoteaux</t>
  </si>
  <si>
    <t xml:space="preserve">Chaudières, PAC</t>
  </si>
  <si>
    <t xml:space="preserve">Chaudière : sous l'appareil ou derrière le capot</t>
  </si>
  <si>
    <t xml:space="preserve">Même règle de sécurité que pour Vaillant Group : jamais de démontage du capot</t>
  </si>
  <si>
    <t xml:space="preserve">Poêles</t>
  </si>
  <si>
    <t xml:space="preserve">MCZ, Palazzetti, Edilkamin, Invicta, Supra</t>
  </si>
  <si>
    <t xml:space="preserve">Poêles à granules et à bois, inserts</t>
  </si>
  <si>
    <t xml:space="preserve">Petit électroménager</t>
  </si>
  <si>
    <t xml:space="preserve">Groupe SEB (Rowenta, Moulinex, Krups, Tefal), De'Longhi, Dyson, Philips</t>
  </si>
  <si>
    <t xml:space="preserve">Café, aspirateurs, repassage</t>
  </si>
  <si>
    <t xml:space="preserve">Sous l'appareil</t>
  </si>
  <si>
    <t xml:space="preserve">Obligations reglementaires - logement en France</t>
  </si>
  <si>
    <t xml:space="preserve">Etat du droit verifie en septembre 2026. A revoir chaque annee : ces textes bougent souvent.</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</si>
  <si>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</si>
  <si>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</si>
  <si>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</si>
  <si>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</si>
  <si>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</si>
  <si>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</si>
  <si>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</si>
  <si>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</si>
  <si>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</si>
  <si>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</si>
  <si>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</si>
  <si>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</si>
  <si>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chaudières 4-400 kW</t>
  </si>
  <si>
    <t xml:space="preserve">Chaudière gaz, fioul, bois, charbon, multicombustible (CH-01, CH-02, CH-03, ECS-03)</t>
  </si>
  <si>
    <t xml:space="preserve">Décret n. 2009-649 du 09/06/2009 + arrêté du 15/09/2009 ; C. env. art. R224-41-4 à R224-41-9</t>
  </si>
  <si>
    <t xml:space="preserve">Occupant pour les chaudières individuelles ; propriétaire ou syndicat pour les collectives (sauf clause contraire du bail)</t>
  </si>
  <si>
    <t xml:space="preserve">Attestation d'entretien remise par le professionnel sous 15 jours, à conserver au moins 2 ans</t>
  </si>
  <si>
    <t xml:space="preserve">Pas d'amende directe, mais retenue possible sur le dépôt de garantie et réduction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</si>
  <si>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</si>
  <si>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</si>
  <si>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</si>
  <si>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</si>
  <si>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fumée</t>
  </si>
  <si>
    <t xml:space="preserve">Tout conduit raccordé à un appareil à combustion : le conduit de fumée (CH-07) et la cheminée à foyer ouvert (CH-06)</t>
  </si>
  <si>
    <t xml:space="preserve">Décret n. 2023-641 du 20/07/2023 + arrêté du 20/07/2023, en vigueur au 01/10/2023 ; Code de la santé publique</t>
  </si>
  <si>
    <t xml:space="preserve">1 ramonage mécanique tous les 12 mois minimum. 2e ramonage requis au-delà de 6 m3 de bois ou 2,5 t de granules consommés dans l'année. Appareils collectifs : tous les 6 mois</t>
  </si>
  <si>
    <t xml:space="preserve">Occupant (décret n. 87-712 sur les réparations locatives) ; syndic pour les conduits collectifs</t>
  </si>
  <si>
    <t xml:space="preserve">Certificat de ramonage délivré par un professionnel qualifié, à conserver 5 ans</t>
  </si>
  <si>
    <t xml:space="preserve">Amende de 3e classe jusqu'à 450 EUR ; refus d'indemnisation en cas de feu de cheminée. Le ramonage chimique (bûche)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</si>
  <si>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</si>
  <si>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</si>
  <si>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</si>
  <si>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</si>
  <si>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</si>
  <si>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</si>
  <si>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à combustible solide</t>
  </si>
  <si>
    <t xml:space="preserve">Poêle à granules, poêle à bois, insert, foyer fermé, cuisinière (CH-04, CH-05)</t>
  </si>
  <si>
    <t xml:space="preserve">Décret n. 2023-641 du 20/07/2023</t>
  </si>
  <si>
    <t xml:space="preserve">Tous les 12 mois pour les appareils individuels</t>
  </si>
  <si>
    <t xml:space="preserve">Occupant</t>
  </si>
  <si>
    <t xml:space="preserve">Non-conformité, difficultés avec l'assureur. Les foyers ouverts sont exemptés d'entretien mais restent soumis au ramonage</t>
  </si>
  <si>
    <t xml:space="preserve">Difficultés d'indemnisation après un sinistre</t>
  </si>
  <si>
    <t xml:space="preserve">Incendie, intoxication au monoxyde de carbone</t>
  </si>
  <si>
    <t xml:space="preserve">L-04</t>
  </si>
  <si>
    <t xml:space="preserve">Entretien des systèmes thermodynamiques 4-70 kW</t>
  </si>
  <si>
    <t xml:space="preserve">PAC air/eau, air/air, geothermique, chauffe-eau thermodynamique, climatiseur, PAC de piscine (CH-08 à CH-10, ECS-02, CLIM-01, PIS-05)</t>
  </si>
  <si>
    <t xml:space="preserve">Décret n. 2020-912 du 28/07/2020 + arrêté du 24/07/2020 ; C. env. art. R224-44 à R224-44-5</t>
  </si>
  <si>
    <t xml:space="preserve">Au moins tous les 2 ans</t>
  </si>
  <si>
    <t xml:space="preserve">Propriétaire ou occupant selon le bail</t>
  </si>
  <si>
    <t xml:space="preserve">Non-conformité ; perte de garantie constructeur fréquente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</si>
  <si>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</si>
  <si>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</si>
  <si>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</si>
  <si>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périodique des systèmes &gt; 70 kW</t>
  </si>
  <si>
    <t xml:space="preserve">Systèmes thermodynamiques et de ventilation combinés à un chauffage par effet joule &gt; 70 kW</t>
  </si>
  <si>
    <t xml:space="preserve">Décret n. 2020-912 ; C. env. art. R224-45 à R224-45-9</t>
  </si>
  <si>
    <t xml:space="preserve">Au moins tous les 5 ans</t>
  </si>
  <si>
    <t xml:space="preserve">Propriétaire ou syndicat de copropriété</t>
  </si>
  <si>
    <t xml:space="preserve">Rapport d'inspection</t>
  </si>
  <si>
    <t xml:space="preserve">Non-conformité. Concerne surtout le collectif et le tertiaire</t>
  </si>
  <si>
    <t xml:space="preserve">Non-conformité (surtout en collectif et tertiaire)</t>
  </si>
  <si>
    <t xml:space="preserve">L-06</t>
  </si>
  <si>
    <t xml:space="preserve">Contrôle d'étanchéité des fluides frigorigenes</t>
  </si>
  <si>
    <t xml:space="preserve">Tout équipement dont la charge atteint 5 tonnes équivalent CO2 (CLIM-03)</t>
  </si>
  <si>
    <t xml:space="preserve">Règlement (UE) 2024/573 du 07/02/2024 dit F-Gas, applicable depuis le 11/03/2024 (abroge le règlement 517/2014)</t>
  </si>
  <si>
    <t xml:space="preserve">Tous les 12 mois pour 5 à 50 t CO2 eq (fréquence resserrée au-delà). En résidentiel, exemption pour un équipement étiqueté hermétiquement scellé contenant moins de 3 kg</t>
  </si>
  <si>
    <t xml:space="preserve">Exploitant / propriétaire de l'équipement</t>
  </si>
  <si>
    <t xml:space="preserve">Fiche d'intervention CERFA 15497, opérateur titulaire d'une attestation de capacité</t>
  </si>
  <si>
    <t xml:space="preserve">Sanction administrative ; impact climatique (le R410A à un pouvoir de réchauffement environ 2000 fois celui du CO2)</t>
  </si>
  <si>
    <t xml:space="preserve">http://data.europa.eu/eli/reg/2024/573/oj</t>
  </si>
  <si>
    <t xml:space="preserve">Sanction administrative</t>
  </si>
  <si>
    <t xml:space="preserve">Fuite d'un gaz à fort effet de serre</t>
  </si>
  <si>
    <t xml:space="preserve">L-07</t>
  </si>
  <si>
    <t xml:space="preserve">Détecteur autonome avertisseur de fumée (DAAF)</t>
  </si>
  <si>
    <t xml:space="preserve">Tout logement (SEC-01)</t>
  </si>
  <si>
    <t xml:space="preserve">Loi n. 2010-238 du 09/03/2010 ; CCH art. R129-12 à R129-15</t>
  </si>
  <si>
    <t xml:space="preserve">Installation par le propriétaire ; entretien, test et remplacement des piles par l'occupant ; appareil à remplacer au bout de 10 ans</t>
  </si>
  <si>
    <t xml:space="preserve">Propriétaire pour la fourniture et l'installation, occupant pour l'entretien</t>
  </si>
  <si>
    <t xml:space="preserve">Pas d'amende prévue, mais l'assureur peut opposer le défaut d'installation</t>
  </si>
  <si>
    <t xml:space="preserve">https://www.service-public.gouv.fr/particuliers/vosdroits/F19871</t>
  </si>
  <si>
    <t xml:space="preserve">L'assureur peut opposer l'absence de détecteur</t>
  </si>
  <si>
    <t xml:space="preserve">Incendie non détecté</t>
  </si>
  <si>
    <t xml:space="preserve">L-08</t>
  </si>
  <si>
    <t xml:space="preserve">Sécurité des piscines privatives enterrées</t>
  </si>
  <si>
    <t xml:space="preserve">Piscine enterrée ou semi-enterrée non close, à usage individuel ou collectif (PIS-01, PIS-07)</t>
  </si>
  <si>
    <t xml:space="preserve">Loi n. 2003-9 du 03/01/2003 ; CCH art. L128-1 et R128-1</t>
  </si>
  <si>
    <t xml:space="preserve">Dispositif normalisé en place en permanence : barrière NF P90-306, alarme NF P90-307, couverture NF P90-308 ou abri NF P90-309</t>
  </si>
  <si>
    <t xml:space="preserve">Propriétaire</t>
  </si>
  <si>
    <t xml:space="preserve">Attestation de conformité du dispositif, note technique du constructeur</t>
  </si>
  <si>
    <t xml:space="preserve">Amende jusqu'à 45 000 EUR ; responsabilité pénale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</si>
  <si>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</si>
  <si>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</si>
  <si>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</si>
  <si>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</si>
  <si>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</si>
  <si>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Contrôle de l'assainissement non collectif</t>
  </si>
  <si>
    <t xml:space="preserve">Fosse toutes eaux, fosse septique, micro-station (ASS-01, ASS-02)</t>
  </si>
  <si>
    <t xml:space="preserve">Code de la santé publique art. L1331-1-1 ; arrêtés du 27/04/2012 et du 07/09/2009</t>
  </si>
  <si>
    <t xml:space="preserve">Contrôle périodique du SPANC au moins tous les 10 ans (la commune peut imposer un intervalle plus court, souvent 4 à 8 ans). Vidange dès que les boues atteignent 50% du volume utile</t>
  </si>
  <si>
    <t xml:space="preserve">Rapport de visite du SPANC ; bordereau de suivi des matières de vidange par un vidangeur agréé</t>
  </si>
  <si>
    <t xml:space="preserve">Mise en demeure, travaux imposés sous 4 ans, majoration de la redevance jusqu'à 100%. À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</si>
  <si>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</si>
  <si>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</si>
  <si>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</si>
  <si>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Déclaration des puits et forages domestiques</t>
  </si>
  <si>
    <t xml:space="preserve">Puits, forage, captage privé (EAU-05)</t>
  </si>
  <si>
    <t xml:space="preserve">CGCT art. L2224-9 ; décret n. 2008-652 du 02/07/2008</t>
  </si>
  <si>
    <t xml:space="preserve">Déclaration en mairie avant travaux et à l'achèvement ; contrôle si l'ouvrage est relié au réseau intérieur</t>
  </si>
  <si>
    <t xml:space="preserve">Récépissé de déclaration (CERFA 13837)</t>
  </si>
  <si>
    <t xml:space="preserve">Amende ; obligation de déconnexion du réseau</t>
  </si>
  <si>
    <t xml:space="preserve">https://www.service-public.gouv.fr/particuliers/vosdroits/F31864</t>
  </si>
  <si>
    <t xml:space="preserve">Amende possible</t>
  </si>
  <si>
    <t xml:space="preserve">Déconnexion du réseau exigée</t>
  </si>
  <si>
    <t xml:space="preserve">L-11</t>
  </si>
  <si>
    <t xml:space="preserve">Installation intérieure de gaz de plus de 15 ans (ENE-06)</t>
  </si>
  <si>
    <t xml:space="preserve">CCH art. L271-4 ; arrêté du 06/04/2007</t>
  </si>
  <si>
    <t xml:space="preserve">À la vente : validité 3 ans. En location : validité 6 ans</t>
  </si>
  <si>
    <t xml:space="preserve">Vendeur ou bailleur</t>
  </si>
  <si>
    <t xml:space="preserve">Diagnostic réalisé par un diagnostiqueur certifié</t>
  </si>
  <si>
    <t xml:space="preserve">Responsabilité du vendeur pour vice caché si le diagnostic est absent ou erroné</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</si>
  <si>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</si>
  <si>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</si>
  <si>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</si>
  <si>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</si>
  <si>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intérieure d'électricité</t>
  </si>
  <si>
    <t xml:space="preserve">Installation électrique de plus de 15 ans (ENE-05)</t>
  </si>
  <si>
    <t xml:space="preserve">CCH art. L271-4 ; décret n. 2008-384</t>
  </si>
  <si>
    <t xml:space="preserve">Responsabilité du vendeur pour vice caché</t>
  </si>
  <si>
    <t xml:space="preserve">L-13</t>
  </si>
  <si>
    <t xml:space="preserve">Entretien et contrôle technique des ascenseurs</t>
  </si>
  <si>
    <t xml:space="preserve">Ascenseur privatif, ascenseur d'immeuble, monte-charge accessible (SEC-07)</t>
  </si>
  <si>
    <t xml:space="preserve">CCH art. L125-2-2 et R125-2 ; décret n. 2004-964 du 09/09/2004</t>
  </si>
  <si>
    <t xml:space="preserve">Contrat d'entretien obligatoire ; visite au moins toutes les 6 semaines ; contrôle technique quinquennal par un organisme agréé</t>
  </si>
  <si>
    <t xml:space="preserve">Carnet d'entretien tenu à jour + rapport de contrôle technique</t>
  </si>
  <si>
    <t xml:space="preserve">Responsabilité civile et pénale en cas d'accident ; mise à l'arrêt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</si>
  <si>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</si>
  <si>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</si>
  <si>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</si>
  <si>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</si>
  <si>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</si>
  <si>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</si>
  <si>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</si>
  <si>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Arrêté du 02/08/1977 modifié ; normes NF D 36-100 / 36-103</t>
  </si>
  <si>
    <t xml:space="preserve">Remplacement impératif à la date de péremption imprimée sur le flexible (5 à 10 ans selon le type)</t>
  </si>
  <si>
    <t xml:space="preserve">Date lisible sur la bague du flexible</t>
  </si>
  <si>
    <t xml:space="preserve">Fuite de gaz ; l'assureur peut opposer le défaut d'entretien après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</si>
  <si>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</si>
  <si>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</si>
  <si>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</si>
  <si>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</si>
  <si>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</si>
  <si>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motorisé desservant des parties communes (OUV-01, OUV-02)</t>
  </si>
  <si>
    <t xml:space="preserve">Arrêté du 21/12/1993 relatif aux portes automatiques de garage des bâtiments d'habitation</t>
  </si>
  <si>
    <t xml:space="preserve">Visite d'entretien au moins tous les 6 mois par un professionnel</t>
  </si>
  <si>
    <t xml:space="preserve">Livret d'entretien</t>
  </si>
  <si>
    <t xml:space="preserve">Responsabilité en cas d'accident ; les installations individuelles ne sont pas soumises à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</si>
  <si>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</si>
  <si>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</si>
  <si>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</si>
  <si>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</si>
  <si>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</si>
  <si>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façade</t>
  </si>
  <si>
    <t xml:space="preserve">Façade sur voie publique (BAT-03)</t>
  </si>
  <si>
    <t xml:space="preserve">CCH art. L132-1 à L132-5 : obligation applicable dans les communes ayant pris un arrêté</t>
  </si>
  <si>
    <t xml:space="preserve">Généralement tous les 10 ans lorsque la commune à établi une liste</t>
  </si>
  <si>
    <t xml:space="preserve">Injonction municipale, puis exécution d'office aux frais du propriétaire</t>
  </si>
  <si>
    <t xml:space="preserve">https://www.service-public.gouv.fr/particuliers/vosdroits/F2076</t>
  </si>
  <si>
    <t xml:space="preserve">Travaux exécutés d'office aux frais du propriétaire</t>
  </si>
  <si>
    <t xml:space="preserve">L-17</t>
  </si>
  <si>
    <t xml:space="preserve">Usage domestique de l'eau de pluie</t>
  </si>
  <si>
    <t xml:space="preserve">Récupérateur alimentant des usages intérieurs, WC ou lave-linge (EAU-06)</t>
  </si>
  <si>
    <t xml:space="preserve">Arrêté du 21/08/2008 relatif à la récupération des eaux de pluie</t>
  </si>
  <si>
    <t xml:space="preserve">Entretien semestriel du filtre, contrôle annuel de la cuve, carnet sanitaire tenu à jour, déclaration en mairie si rejet au réseau collectif</t>
  </si>
  <si>
    <t xml:space="preserve">Carnet sanitaire + déclaration d'usage</t>
  </si>
  <si>
    <t xml:space="preserve">Non-conformité en cas de contrôle ; risque de contamination du réseau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</si>
  <si>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</si>
  <si>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</si>
  <si>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</si>
  <si>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</si>
  <si>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réseau d'eau potable (disconnecteur)</t>
  </si>
  <si>
    <t xml:space="preserve">Arrosage, récupérateur ou piscine raccordés au réseau public (EAU-03)</t>
  </si>
  <si>
    <t xml:space="preserve">Arrêté du 17/03/2004 ; règlement du service des eaux</t>
  </si>
  <si>
    <t xml:space="preserve">Contrôle annuel du dispositif de protection</t>
  </si>
  <si>
    <t xml:space="preserve">Propriétaire / abonné</t>
  </si>
  <si>
    <t xml:space="preserve">Responsabilité civile et pénale en cas de contamination du réseau public</t>
  </si>
  <si>
    <t xml:space="preserve">Civile et pénale en cas de contamination</t>
  </si>
  <si>
    <t xml:space="preserve">Contamination du réseau public</t>
  </si>
  <si>
    <t xml:space="preserve">L-19</t>
  </si>
  <si>
    <t xml:space="preserve">Cuve à fioul enterrée ou aérienne</t>
  </si>
  <si>
    <t xml:space="preserve">Stockage de produits pétroliers à usage domestique (CH-15)</t>
  </si>
  <si>
    <t xml:space="preserve">Arrêté du 01/07/2004 relatif au stockage de produits pétroliers</t>
  </si>
  <si>
    <t xml:space="preserve">Contrôle d'étanchéité périodique selon le type de cuve ; nettoyage recommande tous les 5 à 10 ans</t>
  </si>
  <si>
    <t xml:space="preserve">Rapport de contrôle d'étanchéité</t>
  </si>
  <si>
    <t xml:space="preserve">Depollution des sols à la charge intégrale du propriétaire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</si>
  <si>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</si>
  <si>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</si>
  <si>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</si>
  <si>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</si>
  <si>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Contrôle technique des véhicules</t>
  </si>
  <si>
    <t xml:space="preserve">Voiture particulière (VEH-01)</t>
  </si>
  <si>
    <t xml:space="preserve">Premier contrôle dans les 6 mois précédant le 4e anniversaire de la première immatriculation, puis tous les 2 ans</t>
  </si>
  <si>
    <t xml:space="preserve">Propriétaire du véhicule</t>
  </si>
  <si>
    <t xml:space="preserve">Amende de 135 EUR, immobilisation possible du véhicule</t>
  </si>
  <si>
    <t xml:space="preserve">https://www.service-public.gouv.fr/particuliers/vosdroits/F2878</t>
  </si>
  <si>
    <t xml:space="preserve">135 €</t>
  </si>
  <si>
    <t xml:space="preserve">Immobilisation possible du véhicule</t>
  </si>
  <si>
    <t xml:space="preserve">L-21</t>
  </si>
  <si>
    <t xml:space="preserve">Contrôle technique des deux-roues, trois-roues et quadricycles motorisés</t>
  </si>
  <si>
    <t xml:space="preserve">Véhicules de catégorie L : motos, scooters, cyclomoteurs, quadricycles (VEH-02). Les vélos à assistance électrique ne sont pas concernés</t>
  </si>
  <si>
    <t xml:space="preserve">Décret n. 2023-974 du 23/10/2023 ; arrêté du 23/10/2023</t>
  </si>
  <si>
    <t xml:space="preserve">Véhicules immatriculés depuis 2022 : premier contrôle entre 4 ans et demi et 5 ans après la mise en circulation, puis tous les 3 ans. Véhicules plus anciens : calendrier transitoire selon l'année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</si>
  <si>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</si>
  <si>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</si>
  <si>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</si>
  <si>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</si>
  <si>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</si>
  <si>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</si>
  <si>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</si>
  <si>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</si>
  <si>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</si>
  <si>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</si>
  <si>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</si>
  <si>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</si>
  <si>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</si>
  <si>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</si>
  <si>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</si>
  <si>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</si>
  <si>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</si>
  <si>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</si>
  <si>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</si>
  <si>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</si>
  <si>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</si>
  <si>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</si>
  <si>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</si>
  <si>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</si>
  <si>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</si>
  <si>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</si>
  <si>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</si>
  <si>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</si>
  <si>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</si>
  <si>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</si>
  <si>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</si>
  <si>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</si>
  <si>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</si>
  <si>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</si>
  <si>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</si>
  <si>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</si>
  <si>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</si>
  <si>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</si>
  <si>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</si>
  <si>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</si>
  <si>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</si>
  <si>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</si>
  <si>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</si>
  <si>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</si>
  <si>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</si>
  <si>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</si>
  <si>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</si>
  <si>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</si>
  <si>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</si>
  <si>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</si>
  <si>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</si>
  <si>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</si>
  <si>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</si>
  <si>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</si>
  <si>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</si>
  <si>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</si>
  <si>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</si>
  <si>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</si>
  <si>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</si>
  <si>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</si>
  <si>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</si>
  <si>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</si>
  <si>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</si>
  <si>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</si>
  <si>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</si>
  <si>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</si>
  <si>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</si>
  <si>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</si>
  <si>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</si>
  <si>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</si>
  <si>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</si>
  <si>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</si>
  <si>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</si>
  <si>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Rapport de 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</si>
  <si>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</si>
  <si>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</si>
  <si>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</si>
  <si>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</si>
  <si>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</si>
  <si>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</si>
  <si>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</si>
  <si>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Attestation de 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</si>
  <si>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</si>
  <si>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</si>
  <si>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</si>
  <si>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</si>
  <si>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</si>
  <si>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</si>
  <si>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</si>
  <si>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</si>
  <si>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</si>
  <si>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</si>
  <si>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</si>
  <si>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</si>
  <si>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</si>
  <si>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</si>
  <si>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</si>
  <si>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</si>
  <si>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</si>
  <si>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</si>
  <si>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</si>
  <si>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</si>
  <si>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</si>
  <si>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</si>
  <si>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</si>
  <si>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</si>
  <si>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</si>
  <si>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</si>
  <si>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</si>
  <si>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</si>
  <si>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</si>
  <si>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</si>
  <si>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</si>
  <si>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A 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</si>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</sst>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0</v>
      </c>
      <c r="D38" s="14" t="n">
        <f aca="false">IFERROR(C38/COUNTA(Equipements!$A$6:$A$200),0)</f>
        <v>0</v>
      </c>
    </row>
    <row r="39" customFormat="false" ht="15" hidden="false" customHeight="false" outlineLevel="0" collapsed="false">
      <c r="B39" s="10" t="s">
        <v>73</v>
      </c>
      <c r="C39" s="11" t="n">
        <f aca="false">COUNTIF(Equipements!$O$6:$O$200,$B39)</f>
        <v>0</v>
      </c>
      <c r="D39" s="14" t="n">
        <f aca="false">IFERROR(C39/COUNTA(Equipements!$A$6:$A$200),0)</f>
        <v>0</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104</v>
      </c>
      <c r="P6" s="21" t="s">
        <v>105</v>
      </c>
      <c r="Q6" s="21" t="s">
        <v>106</v>
      </c>
      <c r="R6" s="21" t="s">
        <v>107</v>
      </c>
    </row>
    <row r="7" customFormat="false" ht="23.85" hidden="false" customHeight="false" outlineLevel="0" collapsed="false">
      <c r="A7" s="17" t="s">
        <v>108</v>
      </c>
      <c r="B7" s="18" t="s">
        <v>43</v>
      </c>
      <c r="C7" s="19" t="s">
        <v>94</v>
      </c>
      <c r="D7" s="18" t="s">
        <v>109</v>
      </c>
      <c r="E7" s="16" t="s">
        <v>110</v>
      </c>
      <c r="F7" s="17" t="s">
        <v>97</v>
      </c>
      <c r="G7" s="19" t="s">
        <v>111</v>
      </c>
      <c r="H7" s="19" t="s">
        <v>99</v>
      </c>
      <c r="I7" s="19" t="s">
        <v>112</v>
      </c>
      <c r="J7" s="19" t="s">
        <v>113</v>
      </c>
      <c r="K7" s="16" t="s">
        <v>114</v>
      </c>
      <c r="L7" s="19" t="s">
        <v>115</v>
      </c>
      <c r="M7" s="16" t="n">
        <f aca="false">COUNTIF(Taches!$B$6:$B$250,$A7)</f>
        <v>2</v>
      </c>
      <c r="N7" s="16" t="n">
        <v>1</v>
      </c>
      <c r="O7" s="20" t="s">
        <v>104</v>
      </c>
      <c r="P7" s="21" t="s">
        <v>116</v>
      </c>
      <c r="Q7" s="21" t="s">
        <v>117</v>
      </c>
      <c r="R7" s="21" t="s">
        <v>118</v>
      </c>
    </row>
    <row r="8" customFormat="false" ht="23.85" hidden="false" customHeight="false" outlineLevel="0" collapsed="false">
      <c r="A8" s="17" t="s">
        <v>119</v>
      </c>
      <c r="B8" s="18" t="s">
        <v>43</v>
      </c>
      <c r="C8" s="19" t="s">
        <v>94</v>
      </c>
      <c r="D8" s="18" t="s">
        <v>120</v>
      </c>
      <c r="E8" s="16" t="s">
        <v>96</v>
      </c>
      <c r="F8" s="17" t="s">
        <v>97</v>
      </c>
      <c r="G8" s="19" t="s">
        <v>121</v>
      </c>
      <c r="H8" s="19" t="s">
        <v>99</v>
      </c>
      <c r="I8" s="19" t="s">
        <v>112</v>
      </c>
      <c r="J8" s="19" t="s">
        <v>122</v>
      </c>
      <c r="K8" s="16" t="s">
        <v>123</v>
      </c>
      <c r="L8" s="19" t="s">
        <v>124</v>
      </c>
      <c r="M8" s="16" t="n">
        <f aca="false">COUNTIF(Taches!$B$6:$B$250,$A8)</f>
        <v>2</v>
      </c>
      <c r="N8" s="16" t="n">
        <v>1</v>
      </c>
      <c r="O8" s="20" t="s">
        <v>104</v>
      </c>
      <c r="P8" s="21" t="s">
        <v>125</v>
      </c>
      <c r="Q8" s="21" t="s">
        <v>126</v>
      </c>
      <c r="R8" s="21" t="s">
        <v>127</v>
      </c>
    </row>
    <row r="9" customFormat="false" ht="23.85" hidden="false" customHeight="false" outlineLevel="0" collapsed="false">
      <c r="A9" s="17" t="s">
        <v>128</v>
      </c>
      <c r="B9" s="18" t="s">
        <v>43</v>
      </c>
      <c r="C9" s="19" t="s">
        <v>94</v>
      </c>
      <c r="D9" s="18" t="s">
        <v>129</v>
      </c>
      <c r="E9" s="16" t="s">
        <v>96</v>
      </c>
      <c r="F9" s="17" t="s">
        <v>97</v>
      </c>
      <c r="G9" s="19" t="s">
        <v>130</v>
      </c>
      <c r="H9" s="19" t="s">
        <v>99</v>
      </c>
      <c r="I9" s="19" t="s">
        <v>112</v>
      </c>
      <c r="J9" s="19" t="s">
        <v>122</v>
      </c>
      <c r="K9" s="16" t="s">
        <v>131</v>
      </c>
      <c r="L9" s="19" t="s">
        <v>132</v>
      </c>
      <c r="M9" s="16" t="n">
        <f aca="false">COUNTIF(Taches!$B$6:$B$250,$A9)</f>
        <v>4</v>
      </c>
      <c r="N9" s="16" t="n">
        <v>1</v>
      </c>
      <c r="O9" s="20" t="s">
        <v>104</v>
      </c>
      <c r="P9" s="21" t="s">
        <v>133</v>
      </c>
      <c r="Q9" s="21" t="s">
        <v>134</v>
      </c>
      <c r="R9" s="21" t="s">
        <v>135</v>
      </c>
    </row>
    <row r="10" customFormat="false" ht="23.85" hidden="false" customHeight="false" outlineLevel="0" collapsed="false">
      <c r="A10" s="17" t="s">
        <v>136</v>
      </c>
      <c r="B10" s="18" t="s">
        <v>43</v>
      </c>
      <c r="C10" s="19" t="s">
        <v>94</v>
      </c>
      <c r="D10" s="18" t="s">
        <v>137</v>
      </c>
      <c r="E10" s="16" t="s">
        <v>138</v>
      </c>
      <c r="F10" s="17" t="s">
        <v>97</v>
      </c>
      <c r="G10" s="19" t="s">
        <v>139</v>
      </c>
      <c r="H10" s="19" t="s">
        <v>99</v>
      </c>
      <c r="I10" s="19" t="s">
        <v>112</v>
      </c>
      <c r="J10" s="19" t="s">
        <v>122</v>
      </c>
      <c r="K10" s="16" t="s">
        <v>140</v>
      </c>
      <c r="L10" s="19" t="s">
        <v>141</v>
      </c>
      <c r="M10" s="16" t="n">
        <f aca="false">COUNTIF(Taches!$B$6:$B$250,$A10)</f>
        <v>2</v>
      </c>
      <c r="N10" s="16" t="n">
        <v>1</v>
      </c>
      <c r="O10" s="20" t="s">
        <v>104</v>
      </c>
      <c r="P10" s="21" t="s">
        <v>142</v>
      </c>
      <c r="Q10" s="21" t="s">
        <v>143</v>
      </c>
      <c r="R10" s="21" t="s">
        <v>144</v>
      </c>
    </row>
    <row r="11" customFormat="false" ht="23.85" hidden="false" customHeight="false" outlineLevel="0" collapsed="false">
      <c r="A11" s="17" t="s">
        <v>145</v>
      </c>
      <c r="B11" s="18" t="s">
        <v>43</v>
      </c>
      <c r="C11" s="19" t="s">
        <v>94</v>
      </c>
      <c r="D11" s="18" t="s">
        <v>146</v>
      </c>
      <c r="E11" s="16" t="s">
        <v>147</v>
      </c>
      <c r="F11" s="17" t="s">
        <v>97</v>
      </c>
      <c r="G11" s="19" t="s">
        <v>148</v>
      </c>
      <c r="H11" s="19" t="s">
        <v>149</v>
      </c>
      <c r="I11" s="19" t="s">
        <v>112</v>
      </c>
      <c r="J11" s="19" t="s">
        <v>150</v>
      </c>
      <c r="K11" s="16" t="s">
        <v>151</v>
      </c>
      <c r="L11" s="19" t="s">
        <v>152</v>
      </c>
      <c r="M11" s="16" t="n">
        <f aca="false">COUNTIF(Taches!$B$6:$B$250,$A11)</f>
        <v>1</v>
      </c>
      <c r="N11" s="16" t="n">
        <v>2</v>
      </c>
      <c r="O11" s="20" t="s">
        <v>75</v>
      </c>
      <c r="P11" s="21" t="s">
        <v>153</v>
      </c>
      <c r="Q11" s="21" t="s">
        <v>154</v>
      </c>
      <c r="R11" s="21" t="s">
        <v>155</v>
      </c>
    </row>
    <row r="12" customFormat="false" ht="23.85" hidden="false" customHeight="false" outlineLevel="0" collapsed="false">
      <c r="A12" s="17" t="s">
        <v>156</v>
      </c>
      <c r="B12" s="18" t="s">
        <v>43</v>
      </c>
      <c r="C12" s="19" t="s">
        <v>94</v>
      </c>
      <c r="D12" s="18" t="s">
        <v>157</v>
      </c>
      <c r="E12" s="16" t="s">
        <v>158</v>
      </c>
      <c r="F12" s="17" t="s">
        <v>97</v>
      </c>
      <c r="G12" s="19" t="s">
        <v>159</v>
      </c>
      <c r="H12" s="19" t="s">
        <v>160</v>
      </c>
      <c r="I12" s="19" t="s">
        <v>161</v>
      </c>
      <c r="J12" s="19" t="s">
        <v>162</v>
      </c>
      <c r="K12" s="16" t="s">
        <v>151</v>
      </c>
      <c r="L12" s="19" t="s">
        <v>163</v>
      </c>
      <c r="M12" s="16" t="n">
        <f aca="false">COUNTIF(Taches!$B$6:$B$250,$A12)</f>
        <v>2</v>
      </c>
      <c r="N12" s="16" t="n">
        <v>1</v>
      </c>
      <c r="O12" s="20" t="s">
        <v>75</v>
      </c>
      <c r="P12" s="21" t="s">
        <v>164</v>
      </c>
      <c r="Q12" s="21" t="s">
        <v>165</v>
      </c>
      <c r="R12" s="21" t="s">
        <v>166</v>
      </c>
    </row>
    <row r="13" customFormat="false" ht="35.05" hidden="false" customHeight="false" outlineLevel="0" collapsed="false">
      <c r="A13" s="17" t="s">
        <v>167</v>
      </c>
      <c r="B13" s="18" t="s">
        <v>43</v>
      </c>
      <c r="C13" s="19" t="s">
        <v>94</v>
      </c>
      <c r="D13" s="18" t="s">
        <v>168</v>
      </c>
      <c r="E13" s="16" t="s">
        <v>96</v>
      </c>
      <c r="F13" s="17" t="s">
        <v>97</v>
      </c>
      <c r="G13" s="19" t="s">
        <v>169</v>
      </c>
      <c r="H13" s="19" t="s">
        <v>170</v>
      </c>
      <c r="I13" s="19" t="s">
        <v>112</v>
      </c>
      <c r="J13" s="19" t="s">
        <v>113</v>
      </c>
      <c r="K13" s="16" t="s">
        <v>171</v>
      </c>
      <c r="L13" s="19" t="s">
        <v>172</v>
      </c>
      <c r="M13" s="16" t="n">
        <f aca="false">COUNTIF(Taches!$B$6:$B$250,$A13)</f>
        <v>3</v>
      </c>
      <c r="N13" s="16" t="n">
        <v>1</v>
      </c>
      <c r="O13" s="20" t="s">
        <v>104</v>
      </c>
      <c r="P13" s="21" t="s">
        <v>173</v>
      </c>
      <c r="Q13" s="21" t="s">
        <v>174</v>
      </c>
      <c r="R13" s="21" t="s">
        <v>175</v>
      </c>
    </row>
    <row r="14" customFormat="false" ht="35.05" hidden="false" customHeight="false" outlineLevel="0" collapsed="false">
      <c r="A14" s="22" t="s">
        <v>176</v>
      </c>
      <c r="B14" s="10" t="s">
        <v>43</v>
      </c>
      <c r="C14" s="15" t="s">
        <v>94</v>
      </c>
      <c r="D14" s="10" t="s">
        <v>177</v>
      </c>
      <c r="E14" s="11" t="s">
        <v>178</v>
      </c>
      <c r="F14" s="11" t="s">
        <v>179</v>
      </c>
      <c r="G14" s="15" t="s">
        <v>180</v>
      </c>
      <c r="H14" s="15" t="s">
        <v>170</v>
      </c>
      <c r="I14" s="15" t="s">
        <v>112</v>
      </c>
      <c r="J14" s="15" t="s">
        <v>113</v>
      </c>
      <c r="K14" s="11" t="s">
        <v>131</v>
      </c>
      <c r="L14" s="15" t="s">
        <v>181</v>
      </c>
      <c r="M14" s="11" t="n">
        <f aca="false">COUNTIF(Taches!$B$6:$B$250,$A14)</f>
        <v>2</v>
      </c>
      <c r="N14" s="11" t="n">
        <v>1</v>
      </c>
      <c r="O14" s="20" t="s">
        <v>104</v>
      </c>
      <c r="P14" s="21" t="s">
        <v>182</v>
      </c>
      <c r="Q14" s="21" t="s">
        <v>174</v>
      </c>
      <c r="R14" s="21" t="s">
        <v>175</v>
      </c>
    </row>
    <row r="15" customFormat="false" ht="35.05" hidden="false" customHeight="false" outlineLevel="0" collapsed="false">
      <c r="A15" s="17" t="s">
        <v>183</v>
      </c>
      <c r="B15" s="18" t="s">
        <v>43</v>
      </c>
      <c r="C15" s="19" t="s">
        <v>94</v>
      </c>
      <c r="D15" s="18" t="s">
        <v>184</v>
      </c>
      <c r="E15" s="16" t="s">
        <v>110</v>
      </c>
      <c r="F15" s="17" t="s">
        <v>97</v>
      </c>
      <c r="G15" s="19" t="s">
        <v>185</v>
      </c>
      <c r="H15" s="19" t="s">
        <v>170</v>
      </c>
      <c r="I15" s="19" t="s">
        <v>112</v>
      </c>
      <c r="J15" s="19" t="s">
        <v>113</v>
      </c>
      <c r="K15" s="16" t="s">
        <v>186</v>
      </c>
      <c r="L15" s="19" t="s">
        <v>187</v>
      </c>
      <c r="M15" s="16" t="n">
        <f aca="false">COUNTIF(Taches!$B$6:$B$250,$A15)</f>
        <v>1</v>
      </c>
      <c r="N15" s="16" t="n">
        <v>2</v>
      </c>
      <c r="O15" s="20" t="s">
        <v>104</v>
      </c>
      <c r="P15" s="21" t="s">
        <v>188</v>
      </c>
      <c r="Q15" s="21" t="s">
        <v>174</v>
      </c>
      <c r="R15" s="21" t="s">
        <v>175</v>
      </c>
    </row>
    <row r="16" customFormat="false" ht="23.85" hidden="false" customHeight="false" outlineLevel="0" collapsed="false">
      <c r="A16" s="22" t="s">
        <v>189</v>
      </c>
      <c r="B16" s="10" t="s">
        <v>43</v>
      </c>
      <c r="C16" s="15" t="s">
        <v>94</v>
      </c>
      <c r="D16" s="10" t="s">
        <v>190</v>
      </c>
      <c r="E16" s="11" t="s">
        <v>191</v>
      </c>
      <c r="F16" s="11" t="s">
        <v>192</v>
      </c>
      <c r="G16" s="15" t="s">
        <v>154</v>
      </c>
      <c r="H16" s="15" t="s">
        <v>193</v>
      </c>
      <c r="I16" s="15" t="s">
        <v>194</v>
      </c>
      <c r="J16" s="15" t="s">
        <v>154</v>
      </c>
      <c r="K16" s="11" t="s">
        <v>195</v>
      </c>
      <c r="L16" s="15" t="s">
        <v>196</v>
      </c>
      <c r="M16" s="11" t="n">
        <f aca="false">COUNTIF(Taches!$B$6:$B$250,$A16)</f>
        <v>2</v>
      </c>
      <c r="N16" s="11" t="n">
        <v>1</v>
      </c>
      <c r="O16" s="20" t="s">
        <v>76</v>
      </c>
      <c r="P16" s="21" t="s">
        <v>197</v>
      </c>
      <c r="Q16" s="21" t="s">
        <v>154</v>
      </c>
      <c r="R16" s="21" t="s">
        <v>198</v>
      </c>
    </row>
    <row r="17" customFormat="false" ht="23.85" hidden="false" customHeight="false" outlineLevel="0" collapsed="false">
      <c r="A17" s="22" t="s">
        <v>199</v>
      </c>
      <c r="B17" s="10" t="s">
        <v>43</v>
      </c>
      <c r="C17" s="15" t="s">
        <v>94</v>
      </c>
      <c r="D17" s="10" t="s">
        <v>200</v>
      </c>
      <c r="E17" s="11" t="s">
        <v>154</v>
      </c>
      <c r="F17" s="11" t="s">
        <v>192</v>
      </c>
      <c r="G17" s="15" t="s">
        <v>154</v>
      </c>
      <c r="H17" s="15" t="s">
        <v>201</v>
      </c>
      <c r="I17" s="15" t="s">
        <v>202</v>
      </c>
      <c r="J17" s="15" t="s">
        <v>203</v>
      </c>
      <c r="K17" s="11" t="s">
        <v>204</v>
      </c>
      <c r="L17" s="15" t="s">
        <v>205</v>
      </c>
      <c r="M17" s="11" t="n">
        <f aca="false">COUNTIF(Taches!$B$6:$B$250,$A17)</f>
        <v>1</v>
      </c>
      <c r="N17" s="11" t="n">
        <v>2</v>
      </c>
      <c r="O17" s="20" t="s">
        <v>75</v>
      </c>
      <c r="P17" s="21" t="s">
        <v>153</v>
      </c>
      <c r="Q17" s="21" t="s">
        <v>154</v>
      </c>
      <c r="R17" s="21" t="s">
        <v>206</v>
      </c>
    </row>
    <row r="18" customFormat="false" ht="23.85" hidden="false" customHeight="false" outlineLevel="0" collapsed="false">
      <c r="A18" s="22" t="s">
        <v>207</v>
      </c>
      <c r="B18" s="10" t="s">
        <v>43</v>
      </c>
      <c r="C18" s="15" t="s">
        <v>94</v>
      </c>
      <c r="D18" s="10" t="s">
        <v>208</v>
      </c>
      <c r="E18" s="11" t="s">
        <v>209</v>
      </c>
      <c r="F18" s="11" t="s">
        <v>192</v>
      </c>
      <c r="G18" s="15" t="s">
        <v>154</v>
      </c>
      <c r="H18" s="15" t="s">
        <v>210</v>
      </c>
      <c r="I18" s="15" t="s">
        <v>211</v>
      </c>
      <c r="J18" s="15" t="s">
        <v>154</v>
      </c>
      <c r="K18" s="11" t="s">
        <v>154</v>
      </c>
      <c r="L18" s="15" t="s">
        <v>212</v>
      </c>
      <c r="M18" s="11" t="n">
        <f aca="false">COUNTIF(Taches!$B$6:$B$250,$A18)</f>
        <v>1</v>
      </c>
      <c r="N18" s="11" t="n">
        <v>2</v>
      </c>
      <c r="O18" s="20" t="s">
        <v>104</v>
      </c>
      <c r="P18" s="21" t="s">
        <v>213</v>
      </c>
      <c r="Q18" s="21" t="s">
        <v>214</v>
      </c>
      <c r="R18" s="21" t="s">
        <v>215</v>
      </c>
    </row>
    <row r="19" customFormat="false" ht="23.85" hidden="false" customHeight="false" outlineLevel="0" collapsed="false">
      <c r="A19" s="22" t="s">
        <v>216</v>
      </c>
      <c r="B19" s="10" t="s">
        <v>43</v>
      </c>
      <c r="C19" s="15" t="s">
        <v>94</v>
      </c>
      <c r="D19" s="10" t="s">
        <v>217</v>
      </c>
      <c r="E19" s="11" t="s">
        <v>96</v>
      </c>
      <c r="F19" s="11" t="s">
        <v>192</v>
      </c>
      <c r="G19" s="15" t="s">
        <v>154</v>
      </c>
      <c r="H19" s="15" t="s">
        <v>218</v>
      </c>
      <c r="I19" s="15" t="s">
        <v>194</v>
      </c>
      <c r="J19" s="15" t="s">
        <v>154</v>
      </c>
      <c r="K19" s="11" t="s">
        <v>195</v>
      </c>
      <c r="L19" s="15" t="s">
        <v>219</v>
      </c>
      <c r="M19" s="11" t="n">
        <f aca="false">COUNTIF(Taches!$B$6:$B$250,$A19)</f>
        <v>1</v>
      </c>
      <c r="N19" s="11" t="n">
        <v>3</v>
      </c>
      <c r="O19" s="20" t="s">
        <v>104</v>
      </c>
      <c r="P19" s="21" t="s">
        <v>220</v>
      </c>
      <c r="Q19" s="21" t="s">
        <v>221</v>
      </c>
      <c r="R19" s="21" t="s">
        <v>154</v>
      </c>
    </row>
    <row r="20" customFormat="false" ht="23.85" hidden="false" customHeight="false" outlineLevel="0" collapsed="false">
      <c r="A20" s="22" t="s">
        <v>222</v>
      </c>
      <c r="B20" s="10" t="s">
        <v>43</v>
      </c>
      <c r="C20" s="15" t="s">
        <v>94</v>
      </c>
      <c r="D20" s="10" t="s">
        <v>223</v>
      </c>
      <c r="E20" s="11" t="s">
        <v>224</v>
      </c>
      <c r="F20" s="11" t="s">
        <v>225</v>
      </c>
      <c r="G20" s="15" t="s">
        <v>226</v>
      </c>
      <c r="H20" s="15" t="s">
        <v>227</v>
      </c>
      <c r="I20" s="15" t="s">
        <v>202</v>
      </c>
      <c r="J20" s="15" t="s">
        <v>228</v>
      </c>
      <c r="K20" s="11" t="s">
        <v>229</v>
      </c>
      <c r="L20" s="15" t="s">
        <v>230</v>
      </c>
      <c r="M20" s="11" t="n">
        <f aca="false">COUNTIF(Taches!$B$6:$B$250,$A20)</f>
        <v>1</v>
      </c>
      <c r="N20" s="11" t="n">
        <v>2</v>
      </c>
      <c r="O20" s="20" t="s">
        <v>104</v>
      </c>
      <c r="P20" s="21" t="s">
        <v>231</v>
      </c>
      <c r="Q20" s="21" t="s">
        <v>232</v>
      </c>
      <c r="R20" s="21" t="s">
        <v>154</v>
      </c>
    </row>
    <row r="21" customFormat="false" ht="23.85" hidden="false" customHeight="false" outlineLevel="0" collapsed="false">
      <c r="A21" s="22" t="s">
        <v>233</v>
      </c>
      <c r="B21" s="10" t="s">
        <v>43</v>
      </c>
      <c r="C21" s="15" t="s">
        <v>94</v>
      </c>
      <c r="D21" s="10" t="s">
        <v>234</v>
      </c>
      <c r="E21" s="11" t="s">
        <v>154</v>
      </c>
      <c r="F21" s="11" t="s">
        <v>235</v>
      </c>
      <c r="G21" s="15" t="s">
        <v>236</v>
      </c>
      <c r="H21" s="15" t="s">
        <v>237</v>
      </c>
      <c r="I21" s="15" t="s">
        <v>238</v>
      </c>
      <c r="J21" s="15" t="s">
        <v>239</v>
      </c>
      <c r="K21" s="11" t="s">
        <v>240</v>
      </c>
      <c r="L21" s="15" t="s">
        <v>241</v>
      </c>
      <c r="M21" s="11" t="n">
        <f aca="false">COUNTIF(Taches!$B$6:$B$250,$A21)</f>
        <v>1</v>
      </c>
      <c r="N21" s="11" t="n">
        <v>2</v>
      </c>
      <c r="O21" s="20" t="s">
        <v>104</v>
      </c>
      <c r="P21" s="21" t="s">
        <v>242</v>
      </c>
      <c r="Q21" s="21" t="s">
        <v>243</v>
      </c>
      <c r="R21" s="21" t="s">
        <v>244</v>
      </c>
    </row>
    <row r="22" customFormat="false" ht="23.85" hidden="false" customHeight="false" outlineLevel="0" collapsed="false">
      <c r="A22" s="22" t="s">
        <v>245</v>
      </c>
      <c r="B22" s="10" t="s">
        <v>43</v>
      </c>
      <c r="C22" s="15" t="s">
        <v>94</v>
      </c>
      <c r="D22" s="10" t="s">
        <v>246</v>
      </c>
      <c r="E22" s="11" t="s">
        <v>247</v>
      </c>
      <c r="F22" s="11" t="s">
        <v>192</v>
      </c>
      <c r="G22" s="15" t="s">
        <v>154</v>
      </c>
      <c r="H22" s="15" t="s">
        <v>248</v>
      </c>
      <c r="I22" s="15" t="s">
        <v>194</v>
      </c>
      <c r="J22" s="15" t="s">
        <v>154</v>
      </c>
      <c r="K22" s="11" t="s">
        <v>195</v>
      </c>
      <c r="L22" s="15" t="s">
        <v>249</v>
      </c>
      <c r="M22" s="11" t="n">
        <f aca="false">COUNTIF(Taches!$B$6:$B$250,$A22)</f>
        <v>1</v>
      </c>
      <c r="N22" s="11" t="n">
        <v>3</v>
      </c>
      <c r="O22" s="20" t="s">
        <v>104</v>
      </c>
      <c r="P22" s="21" t="s">
        <v>250</v>
      </c>
      <c r="Q22" s="21" t="s">
        <v>251</v>
      </c>
      <c r="R22" s="21" t="s">
        <v>252</v>
      </c>
    </row>
    <row r="23" customFormat="false" ht="23.85" hidden="false" customHeight="false" outlineLevel="0" collapsed="false">
      <c r="A23" s="22" t="s">
        <v>253</v>
      </c>
      <c r="B23" s="10" t="s">
        <v>43</v>
      </c>
      <c r="C23" s="15" t="s">
        <v>254</v>
      </c>
      <c r="D23" s="10" t="s">
        <v>255</v>
      </c>
      <c r="E23" s="11" t="s">
        <v>247</v>
      </c>
      <c r="F23" s="11" t="s">
        <v>192</v>
      </c>
      <c r="G23" s="15" t="s">
        <v>154</v>
      </c>
      <c r="H23" s="15" t="s">
        <v>256</v>
      </c>
      <c r="I23" s="15" t="s">
        <v>211</v>
      </c>
      <c r="J23" s="15" t="s">
        <v>257</v>
      </c>
      <c r="K23" s="11" t="s">
        <v>171</v>
      </c>
      <c r="L23" s="15" t="s">
        <v>258</v>
      </c>
      <c r="M23" s="11" t="n">
        <f aca="false">COUNTIF(Taches!$B$6:$B$250,$A23)</f>
        <v>3</v>
      </c>
      <c r="N23" s="11" t="n">
        <v>1</v>
      </c>
      <c r="O23" s="20" t="s">
        <v>104</v>
      </c>
      <c r="P23" s="21" t="s">
        <v>259</v>
      </c>
      <c r="Q23" s="21" t="s">
        <v>260</v>
      </c>
      <c r="R23" s="21" t="s">
        <v>154</v>
      </c>
    </row>
    <row r="24" customFormat="false" ht="35.05" hidden="false" customHeight="false" outlineLevel="0" collapsed="false">
      <c r="A24" s="22" t="s">
        <v>261</v>
      </c>
      <c r="B24" s="10" t="s">
        <v>43</v>
      </c>
      <c r="C24" s="15" t="s">
        <v>254</v>
      </c>
      <c r="D24" s="10" t="s">
        <v>262</v>
      </c>
      <c r="E24" s="11" t="s">
        <v>96</v>
      </c>
      <c r="F24" s="11" t="s">
        <v>179</v>
      </c>
      <c r="G24" s="15" t="s">
        <v>185</v>
      </c>
      <c r="H24" s="15" t="s">
        <v>170</v>
      </c>
      <c r="I24" s="15" t="s">
        <v>112</v>
      </c>
      <c r="J24" s="15" t="s">
        <v>113</v>
      </c>
      <c r="K24" s="11" t="s">
        <v>171</v>
      </c>
      <c r="L24" s="15" t="s">
        <v>263</v>
      </c>
      <c r="M24" s="11" t="n">
        <f aca="false">COUNTIF(Taches!$B$6:$B$250,$A24)</f>
        <v>2</v>
      </c>
      <c r="N24" s="11" t="n">
        <v>1</v>
      </c>
      <c r="O24" s="20" t="s">
        <v>104</v>
      </c>
      <c r="P24" s="21" t="s">
        <v>264</v>
      </c>
      <c r="Q24" s="21" t="s">
        <v>174</v>
      </c>
      <c r="R24" s="21" t="s">
        <v>175</v>
      </c>
    </row>
    <row r="25" customFormat="false" ht="35.05" hidden="false" customHeight="false" outlineLevel="0" collapsed="false">
      <c r="A25" s="17" t="s">
        <v>265</v>
      </c>
      <c r="B25" s="18" t="s">
        <v>43</v>
      </c>
      <c r="C25" s="19" t="s">
        <v>254</v>
      </c>
      <c r="D25" s="18" t="s">
        <v>266</v>
      </c>
      <c r="E25" s="16" t="s">
        <v>247</v>
      </c>
      <c r="F25" s="17" t="s">
        <v>97</v>
      </c>
      <c r="G25" s="19" t="s">
        <v>267</v>
      </c>
      <c r="H25" s="19" t="s">
        <v>99</v>
      </c>
      <c r="I25" s="19" t="s">
        <v>112</v>
      </c>
      <c r="J25" s="19" t="s">
        <v>113</v>
      </c>
      <c r="K25" s="16" t="s">
        <v>268</v>
      </c>
      <c r="L25" s="19" t="s">
        <v>269</v>
      </c>
      <c r="M25" s="16" t="n">
        <f aca="false">COUNTIF(Taches!$B$6:$B$250,$A25)</f>
        <v>1</v>
      </c>
      <c r="N25" s="16" t="n">
        <v>1</v>
      </c>
      <c r="O25" s="20" t="s">
        <v>104</v>
      </c>
      <c r="P25" s="21" t="s">
        <v>270</v>
      </c>
      <c r="Q25" s="21" t="s">
        <v>271</v>
      </c>
      <c r="R25" s="21" t="s">
        <v>107</v>
      </c>
    </row>
    <row r="26" customFormat="false" ht="23.85" hidden="false" customHeight="false" outlineLevel="0" collapsed="false">
      <c r="A26" s="22" t="s">
        <v>272</v>
      </c>
      <c r="B26" s="10" t="s">
        <v>43</v>
      </c>
      <c r="C26" s="15" t="s">
        <v>254</v>
      </c>
      <c r="D26" s="10" t="s">
        <v>273</v>
      </c>
      <c r="E26" s="11" t="s">
        <v>110</v>
      </c>
      <c r="F26" s="11" t="s">
        <v>192</v>
      </c>
      <c r="G26" s="15" t="s">
        <v>154</v>
      </c>
      <c r="H26" s="15" t="s">
        <v>274</v>
      </c>
      <c r="I26" s="15" t="s">
        <v>202</v>
      </c>
      <c r="J26" s="15" t="s">
        <v>275</v>
      </c>
      <c r="K26" s="11" t="s">
        <v>171</v>
      </c>
      <c r="L26" s="15" t="s">
        <v>276</v>
      </c>
      <c r="M26" s="11" t="n">
        <f aca="false">COUNTIF(Taches!$B$6:$B$250,$A26)</f>
        <v>1</v>
      </c>
      <c r="N26" s="11" t="n">
        <v>2</v>
      </c>
      <c r="O26" s="20" t="s">
        <v>104</v>
      </c>
      <c r="P26" s="21" t="s">
        <v>277</v>
      </c>
      <c r="Q26" s="21" t="s">
        <v>278</v>
      </c>
      <c r="R26" s="21" t="s">
        <v>279</v>
      </c>
    </row>
    <row r="27" customFormat="false" ht="23.85" hidden="false" customHeight="false" outlineLevel="0" collapsed="false">
      <c r="A27" s="22" t="s">
        <v>280</v>
      </c>
      <c r="B27" s="10" t="s">
        <v>43</v>
      </c>
      <c r="C27" s="15" t="s">
        <v>254</v>
      </c>
      <c r="D27" s="10" t="s">
        <v>281</v>
      </c>
      <c r="E27" s="11" t="s">
        <v>282</v>
      </c>
      <c r="F27" s="11" t="s">
        <v>192</v>
      </c>
      <c r="G27" s="15" t="s">
        <v>154</v>
      </c>
      <c r="H27" s="15" t="s">
        <v>283</v>
      </c>
      <c r="I27" s="15" t="s">
        <v>194</v>
      </c>
      <c r="J27" s="15" t="s">
        <v>154</v>
      </c>
      <c r="K27" s="11" t="s">
        <v>284</v>
      </c>
      <c r="L27" s="15" t="s">
        <v>285</v>
      </c>
      <c r="M27" s="11" t="n">
        <f aca="false">COUNTIF(Taches!$B$6:$B$250,$A27)</f>
        <v>1</v>
      </c>
      <c r="N27" s="11" t="n">
        <v>3</v>
      </c>
      <c r="O27" s="20" t="s">
        <v>104</v>
      </c>
      <c r="P27" s="21" t="s">
        <v>286</v>
      </c>
      <c r="Q27" s="21" t="s">
        <v>287</v>
      </c>
      <c r="R27" s="21" t="s">
        <v>288</v>
      </c>
    </row>
    <row r="28" customFormat="false" ht="23.85" hidden="false" customHeight="false" outlineLevel="0" collapsed="false">
      <c r="A28" s="22" t="s">
        <v>289</v>
      </c>
      <c r="B28" s="10" t="s">
        <v>47</v>
      </c>
      <c r="C28" s="15" t="s">
        <v>254</v>
      </c>
      <c r="D28" s="10" t="s">
        <v>290</v>
      </c>
      <c r="E28" s="11" t="s">
        <v>96</v>
      </c>
      <c r="F28" s="11" t="s">
        <v>192</v>
      </c>
      <c r="G28" s="15" t="s">
        <v>154</v>
      </c>
      <c r="H28" s="15" t="s">
        <v>291</v>
      </c>
      <c r="I28" s="15" t="s">
        <v>211</v>
      </c>
      <c r="J28" s="15" t="s">
        <v>154</v>
      </c>
      <c r="K28" s="11" t="s">
        <v>102</v>
      </c>
      <c r="L28" s="15" t="s">
        <v>292</v>
      </c>
      <c r="M28" s="11" t="n">
        <f aca="false">COUNTIF(Taches!$B$6:$B$250,$A28)</f>
        <v>2</v>
      </c>
      <c r="N28" s="11" t="n">
        <v>2</v>
      </c>
      <c r="O28" s="20" t="s">
        <v>104</v>
      </c>
      <c r="P28" s="21" t="s">
        <v>293</v>
      </c>
      <c r="Q28" s="21" t="s">
        <v>294</v>
      </c>
      <c r="R28" s="21" t="s">
        <v>154</v>
      </c>
    </row>
    <row r="29" customFormat="false" ht="35.05" hidden="false" customHeight="false" outlineLevel="0" collapsed="false">
      <c r="A29" s="22" t="s">
        <v>295</v>
      </c>
      <c r="B29" s="10" t="s">
        <v>43</v>
      </c>
      <c r="C29" s="15" t="s">
        <v>296</v>
      </c>
      <c r="D29" s="10" t="s">
        <v>297</v>
      </c>
      <c r="E29" s="11" t="s">
        <v>178</v>
      </c>
      <c r="F29" s="11" t="s">
        <v>179</v>
      </c>
      <c r="G29" s="15" t="s">
        <v>169</v>
      </c>
      <c r="H29" s="15" t="s">
        <v>170</v>
      </c>
      <c r="I29" s="15" t="s">
        <v>298</v>
      </c>
      <c r="J29" s="15" t="s">
        <v>113</v>
      </c>
      <c r="K29" s="11" t="s">
        <v>131</v>
      </c>
      <c r="L29" s="15" t="s">
        <v>299</v>
      </c>
      <c r="M29" s="11" t="n">
        <f aca="false">COUNTIF(Taches!$B$6:$B$250,$A29)</f>
        <v>3</v>
      </c>
      <c r="N29" s="11" t="n">
        <v>1</v>
      </c>
      <c r="O29" s="20" t="s">
        <v>104</v>
      </c>
      <c r="P29" s="21" t="s">
        <v>182</v>
      </c>
      <c r="Q29" s="21" t="s">
        <v>174</v>
      </c>
      <c r="R29" s="21" t="s">
        <v>175</v>
      </c>
    </row>
    <row r="30" customFormat="false" ht="23.85" hidden="false" customHeight="false" outlineLevel="0" collapsed="false">
      <c r="A30" s="22" t="s">
        <v>300</v>
      </c>
      <c r="B30" s="10" t="s">
        <v>43</v>
      </c>
      <c r="C30" s="15" t="s">
        <v>296</v>
      </c>
      <c r="D30" s="10" t="s">
        <v>301</v>
      </c>
      <c r="E30" s="11" t="s">
        <v>302</v>
      </c>
      <c r="F30" s="11" t="s">
        <v>192</v>
      </c>
      <c r="G30" s="15" t="s">
        <v>154</v>
      </c>
      <c r="H30" s="15" t="s">
        <v>303</v>
      </c>
      <c r="I30" s="15" t="s">
        <v>194</v>
      </c>
      <c r="J30" s="15" t="s">
        <v>154</v>
      </c>
      <c r="K30" s="11" t="s">
        <v>195</v>
      </c>
      <c r="L30" s="15" t="s">
        <v>304</v>
      </c>
      <c r="M30" s="11" t="n">
        <f aca="false">COUNTIF(Taches!$B$6:$B$250,$A30)</f>
        <v>1</v>
      </c>
      <c r="N30" s="11" t="n">
        <v>3</v>
      </c>
      <c r="O30" s="20" t="s">
        <v>104</v>
      </c>
      <c r="P30" s="21" t="s">
        <v>305</v>
      </c>
      <c r="Q30" s="21" t="s">
        <v>306</v>
      </c>
      <c r="R30" s="21" t="s">
        <v>154</v>
      </c>
    </row>
    <row r="31" customFormat="false" ht="35.05" hidden="false" customHeight="false" outlineLevel="0" collapsed="false">
      <c r="A31" s="17" t="s">
        <v>307</v>
      </c>
      <c r="B31" s="18" t="s">
        <v>43</v>
      </c>
      <c r="C31" s="19" t="s">
        <v>296</v>
      </c>
      <c r="D31" s="18" t="s">
        <v>308</v>
      </c>
      <c r="E31" s="16" t="s">
        <v>154</v>
      </c>
      <c r="F31" s="17" t="s">
        <v>97</v>
      </c>
      <c r="G31" s="19" t="s">
        <v>309</v>
      </c>
      <c r="H31" s="19" t="s">
        <v>310</v>
      </c>
      <c r="I31" s="19" t="s">
        <v>311</v>
      </c>
      <c r="J31" s="19" t="s">
        <v>312</v>
      </c>
      <c r="K31" s="16" t="s">
        <v>313</v>
      </c>
      <c r="L31" s="19" t="s">
        <v>314</v>
      </c>
      <c r="M31" s="16" t="n">
        <f aca="false">COUNTIF(Taches!$B$6:$B$250,$A31)</f>
        <v>1</v>
      </c>
      <c r="N31" s="16" t="n">
        <v>2</v>
      </c>
      <c r="O31" s="20" t="s">
        <v>104</v>
      </c>
      <c r="P31" s="21" t="s">
        <v>315</v>
      </c>
      <c r="Q31" s="21" t="s">
        <v>316</v>
      </c>
      <c r="R31" s="21" t="s">
        <v>175</v>
      </c>
    </row>
    <row r="32" customFormat="false" ht="23.85" hidden="false" customHeight="false" outlineLevel="0" collapsed="false">
      <c r="A32" s="22" t="s">
        <v>317</v>
      </c>
      <c r="B32" s="10" t="s">
        <v>43</v>
      </c>
      <c r="C32" s="15" t="s">
        <v>318</v>
      </c>
      <c r="D32" s="10" t="s">
        <v>319</v>
      </c>
      <c r="E32" s="11" t="s">
        <v>110</v>
      </c>
      <c r="F32" s="11" t="s">
        <v>320</v>
      </c>
      <c r="G32" s="15" t="s">
        <v>154</v>
      </c>
      <c r="H32" s="15" t="s">
        <v>321</v>
      </c>
      <c r="I32" s="15" t="s">
        <v>194</v>
      </c>
      <c r="J32" s="15" t="s">
        <v>154</v>
      </c>
      <c r="K32" s="11" t="s">
        <v>322</v>
      </c>
      <c r="L32" s="15" t="s">
        <v>323</v>
      </c>
      <c r="M32" s="11" t="n">
        <f aca="false">COUNTIF(Taches!$B$6:$B$250,$A32)</f>
        <v>2</v>
      </c>
      <c r="N32" s="11" t="n">
        <v>1</v>
      </c>
      <c r="O32" s="20" t="s">
        <v>104</v>
      </c>
      <c r="P32" s="21" t="s">
        <v>324</v>
      </c>
      <c r="Q32" s="21" t="s">
        <v>325</v>
      </c>
      <c r="R32" s="21" t="s">
        <v>326</v>
      </c>
    </row>
    <row r="33" customFormat="false" ht="23.85" hidden="false" customHeight="false" outlineLevel="0" collapsed="false">
      <c r="A33" s="22" t="s">
        <v>327</v>
      </c>
      <c r="B33" s="10" t="s">
        <v>43</v>
      </c>
      <c r="C33" s="15" t="s">
        <v>318</v>
      </c>
      <c r="D33" s="10" t="s">
        <v>328</v>
      </c>
      <c r="E33" s="11" t="s">
        <v>96</v>
      </c>
      <c r="F33" s="11" t="s">
        <v>320</v>
      </c>
      <c r="G33" s="15" t="s">
        <v>154</v>
      </c>
      <c r="H33" s="15" t="s">
        <v>329</v>
      </c>
      <c r="I33" s="15" t="s">
        <v>194</v>
      </c>
      <c r="J33" s="15" t="s">
        <v>154</v>
      </c>
      <c r="K33" s="11" t="s">
        <v>330</v>
      </c>
      <c r="L33" s="15" t="s">
        <v>331</v>
      </c>
      <c r="M33" s="11" t="n">
        <f aca="false">COUNTIF(Taches!$B$6:$B$250,$A33)</f>
        <v>2</v>
      </c>
      <c r="N33" s="11" t="n">
        <v>1</v>
      </c>
      <c r="O33" s="20" t="s">
        <v>104</v>
      </c>
      <c r="P33" s="21" t="s">
        <v>332</v>
      </c>
      <c r="Q33" s="21" t="s">
        <v>333</v>
      </c>
      <c r="R33" s="21" t="s">
        <v>334</v>
      </c>
    </row>
    <row r="34" customFormat="false" ht="23.85" hidden="false" customHeight="false" outlineLevel="0" collapsed="false">
      <c r="A34" s="22" t="s">
        <v>335</v>
      </c>
      <c r="B34" s="10" t="s">
        <v>41</v>
      </c>
      <c r="C34" s="15" t="s">
        <v>318</v>
      </c>
      <c r="D34" s="10" t="s">
        <v>336</v>
      </c>
      <c r="E34" s="11" t="s">
        <v>247</v>
      </c>
      <c r="F34" s="11" t="s">
        <v>192</v>
      </c>
      <c r="G34" s="15" t="s">
        <v>154</v>
      </c>
      <c r="H34" s="15" t="s">
        <v>337</v>
      </c>
      <c r="I34" s="15" t="s">
        <v>194</v>
      </c>
      <c r="J34" s="15" t="s">
        <v>154</v>
      </c>
      <c r="K34" s="11" t="s">
        <v>338</v>
      </c>
      <c r="L34" s="15" t="s">
        <v>339</v>
      </c>
      <c r="M34" s="11" t="n">
        <f aca="false">COUNTIF(Taches!$B$6:$B$250,$A34)</f>
        <v>2</v>
      </c>
      <c r="N34" s="11" t="n">
        <v>1</v>
      </c>
      <c r="O34" s="20" t="s">
        <v>104</v>
      </c>
      <c r="P34" s="21" t="s">
        <v>340</v>
      </c>
      <c r="Q34" s="21" t="s">
        <v>341</v>
      </c>
      <c r="R34" s="21" t="s">
        <v>154</v>
      </c>
    </row>
    <row r="35" customFormat="false" ht="23.85" hidden="false" customHeight="false" outlineLevel="0" collapsed="false">
      <c r="A35" s="22" t="s">
        <v>342</v>
      </c>
      <c r="B35" s="10" t="s">
        <v>43</v>
      </c>
      <c r="C35" s="15" t="s">
        <v>318</v>
      </c>
      <c r="D35" s="10" t="s">
        <v>343</v>
      </c>
      <c r="E35" s="11" t="s">
        <v>344</v>
      </c>
      <c r="F35" s="11" t="s">
        <v>192</v>
      </c>
      <c r="G35" s="15" t="s">
        <v>154</v>
      </c>
      <c r="H35" s="15" t="s">
        <v>345</v>
      </c>
      <c r="I35" s="15" t="s">
        <v>194</v>
      </c>
      <c r="J35" s="15" t="s">
        <v>154</v>
      </c>
      <c r="K35" s="11" t="s">
        <v>195</v>
      </c>
      <c r="L35" s="15" t="s">
        <v>346</v>
      </c>
      <c r="M35" s="11" t="n">
        <f aca="false">COUNTIF(Taches!$B$6:$B$250,$A35)</f>
        <v>1</v>
      </c>
      <c r="N35" s="11" t="n">
        <v>2</v>
      </c>
      <c r="O35" s="20" t="s">
        <v>76</v>
      </c>
      <c r="P35" s="21" t="s">
        <v>153</v>
      </c>
      <c r="Q35" s="21" t="s">
        <v>154</v>
      </c>
      <c r="R35" s="21" t="s">
        <v>154</v>
      </c>
    </row>
    <row r="36" customFormat="false" ht="23.85" hidden="false" customHeight="false" outlineLevel="0" collapsed="false">
      <c r="A36" s="22" t="s">
        <v>347</v>
      </c>
      <c r="B36" s="10" t="s">
        <v>43</v>
      </c>
      <c r="C36" s="15" t="s">
        <v>318</v>
      </c>
      <c r="D36" s="10" t="s">
        <v>348</v>
      </c>
      <c r="E36" s="11" t="s">
        <v>344</v>
      </c>
      <c r="F36" s="11" t="s">
        <v>192</v>
      </c>
      <c r="G36" s="15" t="s">
        <v>154</v>
      </c>
      <c r="H36" s="15" t="s">
        <v>349</v>
      </c>
      <c r="I36" s="15" t="s">
        <v>202</v>
      </c>
      <c r="J36" s="15" t="s">
        <v>154</v>
      </c>
      <c r="K36" s="11" t="s">
        <v>350</v>
      </c>
      <c r="L36" s="15" t="s">
        <v>351</v>
      </c>
      <c r="M36" s="11" t="n">
        <f aca="false">COUNTIF(Taches!$B$6:$B$250,$A36)</f>
        <v>1</v>
      </c>
      <c r="N36" s="11" t="n">
        <v>3</v>
      </c>
      <c r="O36" s="20" t="s">
        <v>75</v>
      </c>
      <c r="P36" s="21" t="s">
        <v>352</v>
      </c>
      <c r="Q36" s="21" t="s">
        <v>154</v>
      </c>
      <c r="R36" s="21" t="s">
        <v>279</v>
      </c>
    </row>
    <row r="37" customFormat="false" ht="23.85" hidden="false" customHeight="false" outlineLevel="0" collapsed="false">
      <c r="A37" s="22" t="s">
        <v>353</v>
      </c>
      <c r="B37" s="10" t="s">
        <v>41</v>
      </c>
      <c r="C37" s="15" t="s">
        <v>354</v>
      </c>
      <c r="D37" s="10" t="s">
        <v>355</v>
      </c>
      <c r="E37" s="11" t="s">
        <v>247</v>
      </c>
      <c r="F37" s="11" t="s">
        <v>192</v>
      </c>
      <c r="G37" s="15" t="s">
        <v>154</v>
      </c>
      <c r="H37" s="15" t="s">
        <v>356</v>
      </c>
      <c r="I37" s="15" t="s">
        <v>194</v>
      </c>
      <c r="J37" s="15" t="s">
        <v>154</v>
      </c>
      <c r="K37" s="11" t="s">
        <v>195</v>
      </c>
      <c r="L37" s="15" t="s">
        <v>357</v>
      </c>
      <c r="M37" s="11" t="n">
        <f aca="false">COUNTIF(Taches!$B$6:$B$250,$A37)</f>
        <v>3</v>
      </c>
      <c r="N37" s="11" t="n">
        <v>1</v>
      </c>
      <c r="O37" s="20" t="s">
        <v>104</v>
      </c>
      <c r="P37" s="21" t="s">
        <v>358</v>
      </c>
      <c r="Q37" s="21" t="s">
        <v>359</v>
      </c>
      <c r="R37" s="21" t="s">
        <v>360</v>
      </c>
    </row>
    <row r="38" customFormat="false" ht="23.85" hidden="false" customHeight="false" outlineLevel="0" collapsed="false">
      <c r="A38" s="22" t="s">
        <v>361</v>
      </c>
      <c r="B38" s="10" t="s">
        <v>41</v>
      </c>
      <c r="C38" s="15" t="s">
        <v>354</v>
      </c>
      <c r="D38" s="10" t="s">
        <v>362</v>
      </c>
      <c r="E38" s="11" t="s">
        <v>363</v>
      </c>
      <c r="F38" s="11" t="s">
        <v>192</v>
      </c>
      <c r="G38" s="15" t="s">
        <v>154</v>
      </c>
      <c r="H38" s="15" t="s">
        <v>364</v>
      </c>
      <c r="I38" s="15" t="s">
        <v>194</v>
      </c>
      <c r="J38" s="15" t="s">
        <v>154</v>
      </c>
      <c r="K38" s="11" t="s">
        <v>195</v>
      </c>
      <c r="L38" s="15" t="s">
        <v>365</v>
      </c>
      <c r="M38" s="11" t="n">
        <f aca="false">COUNTIF(Taches!$B$6:$B$250,$A38)</f>
        <v>1</v>
      </c>
      <c r="N38" s="11" t="n">
        <v>1</v>
      </c>
      <c r="O38" s="20" t="s">
        <v>104</v>
      </c>
      <c r="P38" s="21" t="s">
        <v>366</v>
      </c>
      <c r="Q38" s="21" t="s">
        <v>367</v>
      </c>
      <c r="R38" s="21" t="s">
        <v>154</v>
      </c>
    </row>
    <row r="39" customFormat="false" ht="23.85" hidden="false" customHeight="false" outlineLevel="0" collapsed="false">
      <c r="A39" s="22" t="s">
        <v>368</v>
      </c>
      <c r="B39" s="10" t="s">
        <v>41</v>
      </c>
      <c r="C39" s="15" t="s">
        <v>354</v>
      </c>
      <c r="D39" s="10" t="s">
        <v>369</v>
      </c>
      <c r="E39" s="11" t="s">
        <v>370</v>
      </c>
      <c r="F39" s="11" t="s">
        <v>192</v>
      </c>
      <c r="G39" s="15" t="s">
        <v>154</v>
      </c>
      <c r="H39" s="15" t="s">
        <v>371</v>
      </c>
      <c r="I39" s="15" t="s">
        <v>194</v>
      </c>
      <c r="J39" s="15" t="s">
        <v>154</v>
      </c>
      <c r="K39" s="11" t="s">
        <v>372</v>
      </c>
      <c r="L39" s="15" t="s">
        <v>373</v>
      </c>
      <c r="M39" s="11" t="n">
        <f aca="false">COUNTIF(Taches!$B$6:$B$250,$A39)</f>
        <v>1</v>
      </c>
      <c r="N39" s="11" t="n">
        <v>2</v>
      </c>
      <c r="O39" s="20" t="s">
        <v>104</v>
      </c>
      <c r="P39" s="21" t="s">
        <v>374</v>
      </c>
      <c r="Q39" s="21" t="s">
        <v>375</v>
      </c>
      <c r="R39" s="21" t="s">
        <v>154</v>
      </c>
    </row>
    <row r="40" customFormat="false" ht="23.85" hidden="false" customHeight="false" outlineLevel="0" collapsed="false">
      <c r="A40" s="22" t="s">
        <v>376</v>
      </c>
      <c r="B40" s="10" t="s">
        <v>41</v>
      </c>
      <c r="C40" s="15" t="s">
        <v>354</v>
      </c>
      <c r="D40" s="10" t="s">
        <v>377</v>
      </c>
      <c r="E40" s="11" t="s">
        <v>247</v>
      </c>
      <c r="F40" s="11" t="s">
        <v>192</v>
      </c>
      <c r="G40" s="15" t="s">
        <v>154</v>
      </c>
      <c r="H40" s="15" t="s">
        <v>378</v>
      </c>
      <c r="I40" s="15" t="s">
        <v>194</v>
      </c>
      <c r="J40" s="15" t="s">
        <v>154</v>
      </c>
      <c r="K40" s="11" t="s">
        <v>379</v>
      </c>
      <c r="L40" s="15" t="s">
        <v>380</v>
      </c>
      <c r="M40" s="11" t="n">
        <f aca="false">COUNTIF(Taches!$B$6:$B$250,$A40)</f>
        <v>1</v>
      </c>
      <c r="N40" s="11" t="n">
        <v>3</v>
      </c>
      <c r="O40" s="20" t="s">
        <v>104</v>
      </c>
      <c r="P40" s="21" t="s">
        <v>381</v>
      </c>
      <c r="Q40" s="21" t="s">
        <v>382</v>
      </c>
      <c r="R40" s="21" t="s">
        <v>154</v>
      </c>
    </row>
    <row r="41" customFormat="false" ht="35.05" hidden="false" customHeight="false" outlineLevel="0" collapsed="false">
      <c r="A41" s="22" t="s">
        <v>383</v>
      </c>
      <c r="B41" s="10" t="s">
        <v>42</v>
      </c>
      <c r="C41" s="15" t="s">
        <v>384</v>
      </c>
      <c r="D41" s="10" t="s">
        <v>385</v>
      </c>
      <c r="E41" s="11" t="s">
        <v>370</v>
      </c>
      <c r="F41" s="11" t="s">
        <v>192</v>
      </c>
      <c r="G41" s="15" t="s">
        <v>154</v>
      </c>
      <c r="H41" s="15" t="s">
        <v>386</v>
      </c>
      <c r="I41" s="15" t="s">
        <v>194</v>
      </c>
      <c r="J41" s="15" t="s">
        <v>154</v>
      </c>
      <c r="K41" s="11" t="s">
        <v>387</v>
      </c>
      <c r="L41" s="15" t="s">
        <v>388</v>
      </c>
      <c r="M41" s="11" t="n">
        <f aca="false">COUNTIF(Taches!$B$6:$B$250,$A41)</f>
        <v>4</v>
      </c>
      <c r="N41" s="11" t="n">
        <v>1</v>
      </c>
      <c r="O41" s="20" t="s">
        <v>104</v>
      </c>
      <c r="P41" s="21" t="s">
        <v>389</v>
      </c>
      <c r="Q41" s="21" t="s">
        <v>390</v>
      </c>
      <c r="R41" s="21" t="s">
        <v>391</v>
      </c>
    </row>
    <row r="42" customFormat="false" ht="23.85" hidden="false" customHeight="false" outlineLevel="0" collapsed="false">
      <c r="A42" s="22" t="s">
        <v>392</v>
      </c>
      <c r="B42" s="10" t="s">
        <v>42</v>
      </c>
      <c r="C42" s="15" t="s">
        <v>384</v>
      </c>
      <c r="D42" s="10" t="s">
        <v>393</v>
      </c>
      <c r="E42" s="11" t="s">
        <v>370</v>
      </c>
      <c r="F42" s="11" t="s">
        <v>192</v>
      </c>
      <c r="G42" s="15" t="s">
        <v>154</v>
      </c>
      <c r="H42" s="15" t="s">
        <v>394</v>
      </c>
      <c r="I42" s="15" t="s">
        <v>194</v>
      </c>
      <c r="J42" s="15" t="s">
        <v>154</v>
      </c>
      <c r="K42" s="11" t="s">
        <v>195</v>
      </c>
      <c r="L42" s="15" t="s">
        <v>395</v>
      </c>
      <c r="M42" s="11" t="n">
        <f aca="false">COUNTIF(Taches!$B$6:$B$250,$A42)</f>
        <v>3</v>
      </c>
      <c r="N42" s="11" t="n">
        <v>1</v>
      </c>
      <c r="O42" s="20" t="s">
        <v>104</v>
      </c>
      <c r="P42" s="21" t="s">
        <v>396</v>
      </c>
      <c r="Q42" s="21" t="s">
        <v>397</v>
      </c>
      <c r="R42" s="21" t="s">
        <v>154</v>
      </c>
    </row>
    <row r="43" customFormat="false" ht="35.05" hidden="false" customHeight="false" outlineLevel="0" collapsed="false">
      <c r="A43" s="22" t="s">
        <v>398</v>
      </c>
      <c r="B43" s="10" t="s">
        <v>41</v>
      </c>
      <c r="C43" s="15" t="s">
        <v>384</v>
      </c>
      <c r="D43" s="10" t="s">
        <v>399</v>
      </c>
      <c r="E43" s="11" t="s">
        <v>370</v>
      </c>
      <c r="F43" s="11" t="s">
        <v>192</v>
      </c>
      <c r="G43" s="15" t="s">
        <v>154</v>
      </c>
      <c r="H43" s="15" t="s">
        <v>400</v>
      </c>
      <c r="I43" s="15" t="s">
        <v>194</v>
      </c>
      <c r="J43" s="15" t="s">
        <v>154</v>
      </c>
      <c r="K43" s="11" t="s">
        <v>401</v>
      </c>
      <c r="L43" s="15" t="s">
        <v>402</v>
      </c>
      <c r="M43" s="11" t="n">
        <f aca="false">COUNTIF(Taches!$B$6:$B$250,$A43)</f>
        <v>4</v>
      </c>
      <c r="N43" s="11" t="n">
        <v>1</v>
      </c>
      <c r="O43" s="20" t="s">
        <v>104</v>
      </c>
      <c r="P43" s="21" t="s">
        <v>403</v>
      </c>
      <c r="Q43" s="21" t="s">
        <v>404</v>
      </c>
      <c r="R43" s="21" t="s">
        <v>154</v>
      </c>
    </row>
    <row r="44" customFormat="false" ht="23.85" hidden="false" customHeight="false" outlineLevel="0" collapsed="false">
      <c r="A44" s="22" t="s">
        <v>405</v>
      </c>
      <c r="B44" s="10" t="s">
        <v>42</v>
      </c>
      <c r="C44" s="15" t="s">
        <v>384</v>
      </c>
      <c r="D44" s="10" t="s">
        <v>406</v>
      </c>
      <c r="E44" s="11" t="s">
        <v>302</v>
      </c>
      <c r="F44" s="11" t="s">
        <v>192</v>
      </c>
      <c r="G44" s="15" t="s">
        <v>154</v>
      </c>
      <c r="H44" s="15" t="s">
        <v>407</v>
      </c>
      <c r="I44" s="15" t="s">
        <v>194</v>
      </c>
      <c r="J44" s="15" t="s">
        <v>154</v>
      </c>
      <c r="K44" s="11" t="s">
        <v>195</v>
      </c>
      <c r="L44" s="15" t="s">
        <v>408</v>
      </c>
      <c r="M44" s="11" t="n">
        <f aca="false">COUNTIF(Taches!$B$6:$B$250,$A44)</f>
        <v>1</v>
      </c>
      <c r="N44" s="11" t="n">
        <v>2</v>
      </c>
      <c r="O44" s="20" t="s">
        <v>104</v>
      </c>
      <c r="P44" s="21" t="s">
        <v>409</v>
      </c>
      <c r="Q44" s="21" t="s">
        <v>382</v>
      </c>
      <c r="R44" s="21" t="s">
        <v>154</v>
      </c>
    </row>
    <row r="45" customFormat="false" ht="23.85" hidden="false" customHeight="false" outlineLevel="0" collapsed="false">
      <c r="A45" s="22" t="s">
        <v>410</v>
      </c>
      <c r="B45" s="10" t="s">
        <v>41</v>
      </c>
      <c r="C45" s="15" t="s">
        <v>411</v>
      </c>
      <c r="D45" s="10" t="s">
        <v>412</v>
      </c>
      <c r="E45" s="11" t="s">
        <v>178</v>
      </c>
      <c r="F45" s="11" t="s">
        <v>192</v>
      </c>
      <c r="G45" s="15" t="s">
        <v>154</v>
      </c>
      <c r="H45" s="15" t="s">
        <v>413</v>
      </c>
      <c r="I45" s="15" t="s">
        <v>194</v>
      </c>
      <c r="J45" s="15" t="s">
        <v>154</v>
      </c>
      <c r="K45" s="11" t="s">
        <v>195</v>
      </c>
      <c r="L45" s="15" t="s">
        <v>414</v>
      </c>
      <c r="M45" s="11" t="n">
        <f aca="false">COUNTIF(Taches!$B$6:$B$250,$A45)</f>
        <v>2</v>
      </c>
      <c r="N45" s="11" t="n">
        <v>2</v>
      </c>
      <c r="O45" s="20" t="s">
        <v>104</v>
      </c>
      <c r="P45" s="21" t="s">
        <v>415</v>
      </c>
      <c r="Q45" s="21" t="s">
        <v>416</v>
      </c>
      <c r="R45" s="21" t="s">
        <v>154</v>
      </c>
    </row>
    <row r="46" customFormat="false" ht="23.85" hidden="false" customHeight="false" outlineLevel="0" collapsed="false">
      <c r="A46" s="22" t="s">
        <v>417</v>
      </c>
      <c r="B46" s="10" t="s">
        <v>41</v>
      </c>
      <c r="C46" s="15" t="s">
        <v>411</v>
      </c>
      <c r="D46" s="10" t="s">
        <v>418</v>
      </c>
      <c r="E46" s="11" t="s">
        <v>247</v>
      </c>
      <c r="F46" s="11" t="s">
        <v>192</v>
      </c>
      <c r="G46" s="15" t="s">
        <v>154</v>
      </c>
      <c r="H46" s="15" t="s">
        <v>419</v>
      </c>
      <c r="I46" s="15" t="s">
        <v>194</v>
      </c>
      <c r="J46" s="15" t="s">
        <v>154</v>
      </c>
      <c r="K46" s="11" t="s">
        <v>195</v>
      </c>
      <c r="L46" s="15" t="s">
        <v>420</v>
      </c>
      <c r="M46" s="11" t="n">
        <f aca="false">COUNTIF(Taches!$B$6:$B$250,$A46)</f>
        <v>1</v>
      </c>
      <c r="N46" s="11" t="n">
        <v>3</v>
      </c>
      <c r="O46" s="20" t="s">
        <v>104</v>
      </c>
      <c r="P46" s="21" t="s">
        <v>421</v>
      </c>
      <c r="Q46" s="21" t="s">
        <v>416</v>
      </c>
      <c r="R46" s="21" t="s">
        <v>422</v>
      </c>
    </row>
    <row r="47" customFormat="false" ht="23.85" hidden="false" customHeight="false" outlineLevel="0" collapsed="false">
      <c r="A47" s="22" t="s">
        <v>423</v>
      </c>
      <c r="B47" s="10" t="s">
        <v>41</v>
      </c>
      <c r="C47" s="15" t="s">
        <v>411</v>
      </c>
      <c r="D47" s="10" t="s">
        <v>424</v>
      </c>
      <c r="E47" s="11" t="s">
        <v>96</v>
      </c>
      <c r="F47" s="11" t="s">
        <v>192</v>
      </c>
      <c r="G47" s="15" t="s">
        <v>154</v>
      </c>
      <c r="H47" s="15" t="s">
        <v>425</v>
      </c>
      <c r="I47" s="15" t="s">
        <v>194</v>
      </c>
      <c r="J47" s="15" t="s">
        <v>154</v>
      </c>
      <c r="K47" s="11" t="s">
        <v>195</v>
      </c>
      <c r="L47" s="15" t="s">
        <v>426</v>
      </c>
      <c r="M47" s="11" t="n">
        <f aca="false">COUNTIF(Taches!$B$6:$B$250,$A47)</f>
        <v>1</v>
      </c>
      <c r="N47" s="11" t="n">
        <v>2</v>
      </c>
      <c r="O47" s="20" t="s">
        <v>104</v>
      </c>
      <c r="P47" s="21" t="s">
        <v>427</v>
      </c>
      <c r="Q47" s="21" t="s">
        <v>428</v>
      </c>
      <c r="R47" s="21" t="s">
        <v>429</v>
      </c>
    </row>
    <row r="48" customFormat="false" ht="23.85" hidden="false" customHeight="false" outlineLevel="0" collapsed="false">
      <c r="A48" s="22" t="s">
        <v>430</v>
      </c>
      <c r="B48" s="10" t="s">
        <v>41</v>
      </c>
      <c r="C48" s="15" t="s">
        <v>411</v>
      </c>
      <c r="D48" s="10" t="s">
        <v>431</v>
      </c>
      <c r="E48" s="11" t="s">
        <v>432</v>
      </c>
      <c r="F48" s="11" t="s">
        <v>433</v>
      </c>
      <c r="G48" s="15" t="s">
        <v>434</v>
      </c>
      <c r="H48" s="15" t="s">
        <v>435</v>
      </c>
      <c r="I48" s="15" t="s">
        <v>194</v>
      </c>
      <c r="J48" s="15" t="s">
        <v>436</v>
      </c>
      <c r="K48" s="11" t="s">
        <v>437</v>
      </c>
      <c r="L48" s="15" t="s">
        <v>438</v>
      </c>
      <c r="M48" s="11" t="n">
        <f aca="false">COUNTIF(Taches!$B$6:$B$250,$A48)</f>
        <v>1</v>
      </c>
      <c r="N48" s="11" t="n">
        <v>1</v>
      </c>
      <c r="O48" s="20" t="s">
        <v>439</v>
      </c>
      <c r="P48" s="21" t="s">
        <v>440</v>
      </c>
      <c r="Q48" s="21" t="s">
        <v>441</v>
      </c>
      <c r="R48" s="21" t="s">
        <v>442</v>
      </c>
    </row>
    <row r="49" customFormat="false" ht="23.85" hidden="false" customHeight="false" outlineLevel="0" collapsed="false">
      <c r="A49" s="22" t="s">
        <v>443</v>
      </c>
      <c r="B49" s="10" t="s">
        <v>41</v>
      </c>
      <c r="C49" s="15" t="s">
        <v>411</v>
      </c>
      <c r="D49" s="10" t="s">
        <v>444</v>
      </c>
      <c r="E49" s="11" t="s">
        <v>302</v>
      </c>
      <c r="F49" s="11" t="s">
        <v>192</v>
      </c>
      <c r="G49" s="15" t="s">
        <v>154</v>
      </c>
      <c r="H49" s="15" t="s">
        <v>445</v>
      </c>
      <c r="I49" s="15" t="s">
        <v>194</v>
      </c>
      <c r="J49" s="15" t="s">
        <v>154</v>
      </c>
      <c r="K49" s="11" t="s">
        <v>195</v>
      </c>
      <c r="L49" s="15" t="s">
        <v>446</v>
      </c>
      <c r="M49" s="11" t="n">
        <f aca="false">COUNTIF(Taches!$B$6:$B$250,$A49)</f>
        <v>1</v>
      </c>
      <c r="N49" s="11" t="n">
        <v>3</v>
      </c>
      <c r="O49" s="20" t="s">
        <v>104</v>
      </c>
      <c r="P49" s="21" t="s">
        <v>447</v>
      </c>
      <c r="Q49" s="21" t="s">
        <v>416</v>
      </c>
      <c r="R49" s="21" t="s">
        <v>154</v>
      </c>
    </row>
    <row r="50" customFormat="false" ht="23.85" hidden="false" customHeight="false" outlineLevel="0" collapsed="false">
      <c r="A50" s="22" t="s">
        <v>448</v>
      </c>
      <c r="B50" s="10" t="s">
        <v>41</v>
      </c>
      <c r="C50" s="15" t="s">
        <v>411</v>
      </c>
      <c r="D50" s="10" t="s">
        <v>449</v>
      </c>
      <c r="E50" s="11" t="s">
        <v>450</v>
      </c>
      <c r="F50" s="11" t="s">
        <v>192</v>
      </c>
      <c r="G50" s="15" t="s">
        <v>154</v>
      </c>
      <c r="H50" s="15" t="s">
        <v>451</v>
      </c>
      <c r="I50" s="15" t="s">
        <v>194</v>
      </c>
      <c r="J50" s="15" t="s">
        <v>154</v>
      </c>
      <c r="K50" s="11" t="s">
        <v>452</v>
      </c>
      <c r="L50" s="15" t="s">
        <v>453</v>
      </c>
      <c r="M50" s="11" t="n">
        <f aca="false">COUNTIF(Taches!$B$6:$B$250,$A50)</f>
        <v>2</v>
      </c>
      <c r="N50" s="11" t="n">
        <v>2</v>
      </c>
      <c r="O50" s="20" t="s">
        <v>104</v>
      </c>
      <c r="P50" s="21" t="s">
        <v>454</v>
      </c>
      <c r="Q50" s="21" t="s">
        <v>382</v>
      </c>
      <c r="R50" s="21" t="s">
        <v>154</v>
      </c>
    </row>
    <row r="51" customFormat="false" ht="23.85" hidden="false" customHeight="false" outlineLevel="0" collapsed="false">
      <c r="A51" s="22" t="s">
        <v>455</v>
      </c>
      <c r="B51" s="10" t="s">
        <v>44</v>
      </c>
      <c r="C51" s="15" t="s">
        <v>44</v>
      </c>
      <c r="D51" s="10" t="s">
        <v>456</v>
      </c>
      <c r="E51" s="11" t="s">
        <v>457</v>
      </c>
      <c r="F51" s="11" t="s">
        <v>192</v>
      </c>
      <c r="G51" s="15" t="s">
        <v>154</v>
      </c>
      <c r="H51" s="15" t="s">
        <v>458</v>
      </c>
      <c r="I51" s="15" t="s">
        <v>194</v>
      </c>
      <c r="J51" s="15" t="s">
        <v>154</v>
      </c>
      <c r="K51" s="11" t="s">
        <v>437</v>
      </c>
      <c r="L51" s="15" t="s">
        <v>459</v>
      </c>
      <c r="M51" s="11" t="n">
        <f aca="false">COUNTIF(Taches!$B$6:$B$250,$A51)</f>
        <v>1</v>
      </c>
      <c r="N51" s="11" t="n">
        <v>2</v>
      </c>
      <c r="O51" s="20" t="s">
        <v>104</v>
      </c>
      <c r="P51" s="21" t="s">
        <v>460</v>
      </c>
      <c r="Q51" s="21" t="s">
        <v>461</v>
      </c>
      <c r="R51" s="21" t="s">
        <v>154</v>
      </c>
    </row>
    <row r="52" customFormat="false" ht="23.85" hidden="false" customHeight="false" outlineLevel="0" collapsed="false">
      <c r="A52" s="22" t="s">
        <v>462</v>
      </c>
      <c r="B52" s="10" t="s">
        <v>44</v>
      </c>
      <c r="C52" s="15" t="s">
        <v>44</v>
      </c>
      <c r="D52" s="10" t="s">
        <v>463</v>
      </c>
      <c r="E52" s="11" t="s">
        <v>464</v>
      </c>
      <c r="F52" s="11" t="s">
        <v>192</v>
      </c>
      <c r="G52" s="15" t="s">
        <v>154</v>
      </c>
      <c r="H52" s="15" t="s">
        <v>465</v>
      </c>
      <c r="I52" s="15" t="s">
        <v>194</v>
      </c>
      <c r="J52" s="15" t="s">
        <v>154</v>
      </c>
      <c r="K52" s="11" t="s">
        <v>466</v>
      </c>
      <c r="L52" s="15" t="s">
        <v>467</v>
      </c>
      <c r="M52" s="11" t="n">
        <f aca="false">COUNTIF(Taches!$B$6:$B$250,$A52)</f>
        <v>1</v>
      </c>
      <c r="N52" s="11" t="n">
        <v>2</v>
      </c>
      <c r="O52" s="20" t="s">
        <v>104</v>
      </c>
      <c r="P52" s="21" t="s">
        <v>468</v>
      </c>
      <c r="Q52" s="21" t="s">
        <v>382</v>
      </c>
      <c r="R52" s="21" t="s">
        <v>469</v>
      </c>
    </row>
    <row r="53" customFormat="false" ht="23.85" hidden="false" customHeight="false" outlineLevel="0" collapsed="false">
      <c r="A53" s="22" t="s">
        <v>470</v>
      </c>
      <c r="B53" s="10" t="s">
        <v>44</v>
      </c>
      <c r="C53" s="15" t="s">
        <v>44</v>
      </c>
      <c r="D53" s="10" t="s">
        <v>471</v>
      </c>
      <c r="E53" s="11" t="s">
        <v>472</v>
      </c>
      <c r="F53" s="11" t="s">
        <v>192</v>
      </c>
      <c r="G53" s="15" t="s">
        <v>154</v>
      </c>
      <c r="H53" s="15" t="s">
        <v>473</v>
      </c>
      <c r="I53" s="15" t="s">
        <v>194</v>
      </c>
      <c r="J53" s="15" t="s">
        <v>154</v>
      </c>
      <c r="K53" s="11" t="s">
        <v>474</v>
      </c>
      <c r="L53" s="15" t="s">
        <v>475</v>
      </c>
      <c r="M53" s="11" t="n">
        <f aca="false">COUNTIF(Taches!$B$6:$B$250,$A53)</f>
        <v>1</v>
      </c>
      <c r="N53" s="11" t="n">
        <v>3</v>
      </c>
      <c r="O53" s="20" t="s">
        <v>104</v>
      </c>
      <c r="P53" s="21" t="s">
        <v>476</v>
      </c>
      <c r="Q53" s="21" t="s">
        <v>477</v>
      </c>
      <c r="R53" s="21" t="s">
        <v>154</v>
      </c>
    </row>
    <row r="54" customFormat="false" ht="23.85" hidden="false" customHeight="false" outlineLevel="0" collapsed="false">
      <c r="A54" s="22" t="s">
        <v>478</v>
      </c>
      <c r="B54" s="10" t="s">
        <v>44</v>
      </c>
      <c r="C54" s="15" t="s">
        <v>44</v>
      </c>
      <c r="D54" s="10" t="s">
        <v>479</v>
      </c>
      <c r="E54" s="11" t="s">
        <v>302</v>
      </c>
      <c r="F54" s="11" t="s">
        <v>192</v>
      </c>
      <c r="G54" s="15" t="s">
        <v>154</v>
      </c>
      <c r="H54" s="15" t="s">
        <v>480</v>
      </c>
      <c r="I54" s="15" t="s">
        <v>194</v>
      </c>
      <c r="J54" s="15" t="s">
        <v>154</v>
      </c>
      <c r="K54" s="11" t="s">
        <v>195</v>
      </c>
      <c r="L54" s="15" t="s">
        <v>481</v>
      </c>
      <c r="M54" s="11" t="n">
        <f aca="false">COUNTIF(Taches!$B$6:$B$250,$A54)</f>
        <v>1</v>
      </c>
      <c r="N54" s="11" t="n">
        <v>3</v>
      </c>
      <c r="O54" s="20" t="s">
        <v>104</v>
      </c>
      <c r="P54" s="21" t="s">
        <v>305</v>
      </c>
      <c r="Q54" s="21" t="s">
        <v>482</v>
      </c>
      <c r="R54" s="21" t="s">
        <v>154</v>
      </c>
    </row>
    <row r="55" customFormat="false" ht="23.85" hidden="false" customHeight="false" outlineLevel="0" collapsed="false">
      <c r="A55" s="22" t="s">
        <v>483</v>
      </c>
      <c r="B55" s="10" t="s">
        <v>42</v>
      </c>
      <c r="C55" s="15" t="s">
        <v>44</v>
      </c>
      <c r="D55" s="10" t="s">
        <v>484</v>
      </c>
      <c r="E55" s="11" t="s">
        <v>485</v>
      </c>
      <c r="F55" s="11" t="s">
        <v>192</v>
      </c>
      <c r="G55" s="15" t="s">
        <v>154</v>
      </c>
      <c r="H55" s="15" t="s">
        <v>486</v>
      </c>
      <c r="I55" s="15" t="s">
        <v>194</v>
      </c>
      <c r="J55" s="15" t="s">
        <v>154</v>
      </c>
      <c r="K55" s="11" t="s">
        <v>487</v>
      </c>
      <c r="L55" s="15" t="s">
        <v>488</v>
      </c>
      <c r="M55" s="11" t="n">
        <f aca="false">COUNTIF(Taches!$B$6:$B$250,$A55)</f>
        <v>1</v>
      </c>
      <c r="N55" s="11" t="n">
        <v>3</v>
      </c>
      <c r="O55" s="20" t="s">
        <v>104</v>
      </c>
      <c r="P55" s="21" t="s">
        <v>489</v>
      </c>
      <c r="Q55" s="21" t="s">
        <v>490</v>
      </c>
      <c r="R55" s="21" t="s">
        <v>154</v>
      </c>
    </row>
    <row r="56" customFormat="false" ht="23.85" hidden="false" customHeight="false" outlineLevel="0" collapsed="false">
      <c r="A56" s="22" t="s">
        <v>491</v>
      </c>
      <c r="B56" s="10" t="s">
        <v>47</v>
      </c>
      <c r="C56" s="15" t="s">
        <v>492</v>
      </c>
      <c r="D56" s="10" t="s">
        <v>493</v>
      </c>
      <c r="E56" s="11" t="s">
        <v>158</v>
      </c>
      <c r="F56" s="11" t="s">
        <v>192</v>
      </c>
      <c r="G56" s="15" t="s">
        <v>154</v>
      </c>
      <c r="H56" s="15" t="s">
        <v>494</v>
      </c>
      <c r="I56" s="15" t="s">
        <v>194</v>
      </c>
      <c r="J56" s="15" t="s">
        <v>154</v>
      </c>
      <c r="K56" s="11" t="s">
        <v>195</v>
      </c>
      <c r="L56" s="15" t="s">
        <v>495</v>
      </c>
      <c r="M56" s="11" t="n">
        <f aca="false">COUNTIF(Taches!$B$6:$B$250,$A56)</f>
        <v>2</v>
      </c>
      <c r="N56" s="11" t="n">
        <v>2</v>
      </c>
      <c r="O56" s="20" t="s">
        <v>76</v>
      </c>
      <c r="P56" s="21" t="s">
        <v>153</v>
      </c>
      <c r="Q56" s="21" t="s">
        <v>154</v>
      </c>
      <c r="R56" s="21" t="s">
        <v>154</v>
      </c>
    </row>
    <row r="57" customFormat="false" ht="23.85" hidden="false" customHeight="false" outlineLevel="0" collapsed="false">
      <c r="A57" s="22" t="s">
        <v>496</v>
      </c>
      <c r="B57" s="10" t="s">
        <v>47</v>
      </c>
      <c r="C57" s="15" t="s">
        <v>492</v>
      </c>
      <c r="D57" s="10" t="s">
        <v>497</v>
      </c>
      <c r="E57" s="11" t="s">
        <v>498</v>
      </c>
      <c r="F57" s="11" t="s">
        <v>192</v>
      </c>
      <c r="G57" s="15" t="s">
        <v>154</v>
      </c>
      <c r="H57" s="15" t="s">
        <v>499</v>
      </c>
      <c r="I57" s="15" t="s">
        <v>194</v>
      </c>
      <c r="J57" s="15" t="s">
        <v>154</v>
      </c>
      <c r="K57" s="11" t="s">
        <v>195</v>
      </c>
      <c r="L57" s="15" t="s">
        <v>500</v>
      </c>
      <c r="M57" s="11" t="n">
        <f aca="false">COUNTIF(Taches!$B$6:$B$250,$A57)</f>
        <v>1</v>
      </c>
      <c r="N57" s="11" t="n">
        <v>3</v>
      </c>
      <c r="O57" s="20" t="s">
        <v>74</v>
      </c>
      <c r="P57" s="21" t="s">
        <v>501</v>
      </c>
      <c r="Q57" s="21" t="s">
        <v>502</v>
      </c>
      <c r="R57" s="21" t="s">
        <v>503</v>
      </c>
    </row>
    <row r="58" customFormat="false" ht="23.85" hidden="false" customHeight="false" outlineLevel="0" collapsed="false">
      <c r="A58" s="22" t="s">
        <v>504</v>
      </c>
      <c r="B58" s="10" t="s">
        <v>47</v>
      </c>
      <c r="C58" s="15" t="s">
        <v>492</v>
      </c>
      <c r="D58" s="10" t="s">
        <v>505</v>
      </c>
      <c r="E58" s="11" t="s">
        <v>247</v>
      </c>
      <c r="F58" s="11" t="s">
        <v>225</v>
      </c>
      <c r="G58" s="15" t="s">
        <v>506</v>
      </c>
      <c r="H58" s="15" t="s">
        <v>507</v>
      </c>
      <c r="I58" s="15" t="s">
        <v>202</v>
      </c>
      <c r="J58" s="15" t="s">
        <v>228</v>
      </c>
      <c r="K58" s="11" t="s">
        <v>140</v>
      </c>
      <c r="L58" s="15" t="s">
        <v>508</v>
      </c>
      <c r="M58" s="11" t="n">
        <f aca="false">COUNTIF(Taches!$B$6:$B$250,$A58)</f>
        <v>1</v>
      </c>
      <c r="N58" s="11" t="n">
        <v>2</v>
      </c>
      <c r="O58" s="20" t="s">
        <v>104</v>
      </c>
      <c r="P58" s="21" t="s">
        <v>509</v>
      </c>
      <c r="Q58" s="21" t="s">
        <v>510</v>
      </c>
      <c r="R58" s="21" t="s">
        <v>154</v>
      </c>
    </row>
    <row r="59" customFormat="false" ht="23.85" hidden="false" customHeight="false" outlineLevel="0" collapsed="false">
      <c r="A59" s="22" t="s">
        <v>511</v>
      </c>
      <c r="B59" s="10" t="s">
        <v>47</v>
      </c>
      <c r="C59" s="15" t="s">
        <v>492</v>
      </c>
      <c r="D59" s="10" t="s">
        <v>512</v>
      </c>
      <c r="E59" s="11" t="s">
        <v>513</v>
      </c>
      <c r="F59" s="11" t="s">
        <v>192</v>
      </c>
      <c r="G59" s="15" t="s">
        <v>154</v>
      </c>
      <c r="H59" s="15" t="s">
        <v>514</v>
      </c>
      <c r="I59" s="15" t="s">
        <v>515</v>
      </c>
      <c r="J59" s="15" t="s">
        <v>154</v>
      </c>
      <c r="K59" s="11" t="s">
        <v>102</v>
      </c>
      <c r="L59" s="15" t="s">
        <v>516</v>
      </c>
      <c r="M59" s="11" t="n">
        <f aca="false">COUNTIF(Taches!$B$6:$B$250,$A59)</f>
        <v>1</v>
      </c>
      <c r="N59" s="11" t="n">
        <v>2</v>
      </c>
      <c r="O59" s="20" t="s">
        <v>104</v>
      </c>
      <c r="P59" s="21" t="s">
        <v>517</v>
      </c>
      <c r="Q59" s="21" t="s">
        <v>518</v>
      </c>
      <c r="R59" s="21" t="s">
        <v>154</v>
      </c>
    </row>
    <row r="60" customFormat="false" ht="23.85" hidden="false" customHeight="false" outlineLevel="0" collapsed="false">
      <c r="A60" s="22" t="s">
        <v>519</v>
      </c>
      <c r="B60" s="10" t="s">
        <v>47</v>
      </c>
      <c r="C60" s="15" t="s">
        <v>492</v>
      </c>
      <c r="D60" s="10" t="s">
        <v>520</v>
      </c>
      <c r="E60" s="11" t="s">
        <v>154</v>
      </c>
      <c r="F60" s="11" t="s">
        <v>521</v>
      </c>
      <c r="G60" s="15" t="s">
        <v>522</v>
      </c>
      <c r="H60" s="15" t="s">
        <v>523</v>
      </c>
      <c r="I60" s="15" t="s">
        <v>524</v>
      </c>
      <c r="J60" s="15" t="s">
        <v>525</v>
      </c>
      <c r="K60" s="11" t="s">
        <v>56</v>
      </c>
      <c r="L60" s="15" t="s">
        <v>526</v>
      </c>
      <c r="M60" s="11" t="n">
        <f aca="false">COUNTIF(Taches!$B$6:$B$250,$A60)</f>
        <v>1</v>
      </c>
      <c r="N60" s="11" t="n">
        <v>2</v>
      </c>
      <c r="O60" s="20" t="s">
        <v>75</v>
      </c>
      <c r="P60" s="21" t="s">
        <v>153</v>
      </c>
      <c r="Q60" s="21" t="s">
        <v>154</v>
      </c>
      <c r="R60" s="21" t="s">
        <v>527</v>
      </c>
    </row>
    <row r="61" customFormat="false" ht="23.85" hidden="false" customHeight="false" outlineLevel="0" collapsed="false">
      <c r="A61" s="22" t="s">
        <v>528</v>
      </c>
      <c r="B61" s="10" t="s">
        <v>47</v>
      </c>
      <c r="C61" s="15" t="s">
        <v>492</v>
      </c>
      <c r="D61" s="10" t="s">
        <v>529</v>
      </c>
      <c r="E61" s="11" t="s">
        <v>138</v>
      </c>
      <c r="F61" s="11" t="s">
        <v>225</v>
      </c>
      <c r="G61" s="15" t="s">
        <v>530</v>
      </c>
      <c r="H61" s="15" t="s">
        <v>531</v>
      </c>
      <c r="I61" s="15" t="s">
        <v>194</v>
      </c>
      <c r="J61" s="15" t="s">
        <v>532</v>
      </c>
      <c r="K61" s="11" t="s">
        <v>533</v>
      </c>
      <c r="L61" s="15" t="s">
        <v>534</v>
      </c>
      <c r="M61" s="11" t="n">
        <f aca="false">COUNTIF(Taches!$B$6:$B$250,$A61)</f>
        <v>1</v>
      </c>
      <c r="N61" s="11" t="n">
        <v>2</v>
      </c>
      <c r="O61" s="20" t="s">
        <v>104</v>
      </c>
      <c r="P61" s="21" t="s">
        <v>535</v>
      </c>
      <c r="Q61" s="21" t="s">
        <v>536</v>
      </c>
      <c r="R61" s="21" t="s">
        <v>154</v>
      </c>
    </row>
    <row r="62" customFormat="false" ht="23.85" hidden="false" customHeight="false" outlineLevel="0" collapsed="false">
      <c r="A62" s="22" t="s">
        <v>537</v>
      </c>
      <c r="B62" s="10" t="s">
        <v>47</v>
      </c>
      <c r="C62" s="15" t="s">
        <v>492</v>
      </c>
      <c r="D62" s="10" t="s">
        <v>538</v>
      </c>
      <c r="E62" s="11" t="s">
        <v>247</v>
      </c>
      <c r="F62" s="11" t="s">
        <v>192</v>
      </c>
      <c r="G62" s="15" t="s">
        <v>154</v>
      </c>
      <c r="H62" s="15" t="s">
        <v>539</v>
      </c>
      <c r="I62" s="15" t="s">
        <v>194</v>
      </c>
      <c r="J62" s="15" t="s">
        <v>154</v>
      </c>
      <c r="K62" s="11" t="s">
        <v>195</v>
      </c>
      <c r="L62" s="15" t="s">
        <v>540</v>
      </c>
      <c r="M62" s="11" t="n">
        <f aca="false">COUNTIF(Taches!$B$6:$B$250,$A62)</f>
        <v>1</v>
      </c>
      <c r="N62" s="11" t="n">
        <v>3</v>
      </c>
      <c r="O62" s="20" t="s">
        <v>104</v>
      </c>
      <c r="P62" s="21" t="s">
        <v>541</v>
      </c>
      <c r="Q62" s="21" t="s">
        <v>542</v>
      </c>
      <c r="R62" s="21" t="s">
        <v>154</v>
      </c>
    </row>
    <row r="63" customFormat="false" ht="23.85" hidden="false" customHeight="false" outlineLevel="0" collapsed="false">
      <c r="A63" s="22" t="s">
        <v>543</v>
      </c>
      <c r="B63" s="10" t="s">
        <v>47</v>
      </c>
      <c r="C63" s="15" t="s">
        <v>492</v>
      </c>
      <c r="D63" s="10" t="s">
        <v>544</v>
      </c>
      <c r="E63" s="11" t="s">
        <v>110</v>
      </c>
      <c r="F63" s="11" t="s">
        <v>192</v>
      </c>
      <c r="G63" s="15" t="s">
        <v>154</v>
      </c>
      <c r="H63" s="15" t="s">
        <v>545</v>
      </c>
      <c r="I63" s="15" t="s">
        <v>202</v>
      </c>
      <c r="J63" s="15" t="s">
        <v>154</v>
      </c>
      <c r="K63" s="11" t="s">
        <v>546</v>
      </c>
      <c r="L63" s="15" t="s">
        <v>547</v>
      </c>
      <c r="M63" s="11" t="n">
        <f aca="false">COUNTIF(Taches!$B$6:$B$250,$A63)</f>
        <v>1</v>
      </c>
      <c r="N63" s="11" t="n">
        <v>3</v>
      </c>
      <c r="O63" s="20" t="s">
        <v>104</v>
      </c>
      <c r="P63" s="21" t="s">
        <v>548</v>
      </c>
      <c r="Q63" s="21" t="s">
        <v>549</v>
      </c>
      <c r="R63" s="21" t="s">
        <v>154</v>
      </c>
    </row>
    <row r="64" customFormat="false" ht="35.05" hidden="false" customHeight="false" outlineLevel="0" collapsed="false">
      <c r="A64" s="17" t="s">
        <v>550</v>
      </c>
      <c r="B64" s="18" t="s">
        <v>47</v>
      </c>
      <c r="C64" s="19" t="s">
        <v>551</v>
      </c>
      <c r="D64" s="18" t="s">
        <v>552</v>
      </c>
      <c r="E64" s="16" t="s">
        <v>553</v>
      </c>
      <c r="F64" s="17" t="s">
        <v>97</v>
      </c>
      <c r="G64" s="19" t="s">
        <v>554</v>
      </c>
      <c r="H64" s="19" t="s">
        <v>555</v>
      </c>
      <c r="I64" s="19" t="s">
        <v>556</v>
      </c>
      <c r="J64" s="19" t="s">
        <v>557</v>
      </c>
      <c r="K64" s="16" t="s">
        <v>558</v>
      </c>
      <c r="L64" s="19" t="s">
        <v>559</v>
      </c>
      <c r="M64" s="16" t="n">
        <f aca="false">COUNTIF(Taches!$B$6:$B$250,$A64)</f>
        <v>2</v>
      </c>
      <c r="N64" s="16" t="n">
        <v>1</v>
      </c>
      <c r="O64" s="20" t="s">
        <v>75</v>
      </c>
      <c r="P64" s="21" t="s">
        <v>197</v>
      </c>
      <c r="Q64" s="21" t="s">
        <v>154</v>
      </c>
      <c r="R64" s="21" t="s">
        <v>560</v>
      </c>
    </row>
    <row r="65" customFormat="false" ht="35.05" hidden="false" customHeight="false" outlineLevel="0" collapsed="false">
      <c r="A65" s="17" t="s">
        <v>561</v>
      </c>
      <c r="B65" s="18" t="s">
        <v>47</v>
      </c>
      <c r="C65" s="19" t="s">
        <v>551</v>
      </c>
      <c r="D65" s="18" t="s">
        <v>562</v>
      </c>
      <c r="E65" s="16" t="s">
        <v>96</v>
      </c>
      <c r="F65" s="17" t="s">
        <v>97</v>
      </c>
      <c r="G65" s="19" t="s">
        <v>554</v>
      </c>
      <c r="H65" s="19" t="s">
        <v>563</v>
      </c>
      <c r="I65" s="19" t="s">
        <v>564</v>
      </c>
      <c r="J65" s="19" t="s">
        <v>565</v>
      </c>
      <c r="K65" s="16" t="s">
        <v>566</v>
      </c>
      <c r="L65" s="19" t="s">
        <v>567</v>
      </c>
      <c r="M65" s="16" t="n">
        <f aca="false">COUNTIF(Taches!$B$6:$B$250,$A65)</f>
        <v>1</v>
      </c>
      <c r="N65" s="16" t="n">
        <v>1</v>
      </c>
      <c r="O65" s="20" t="s">
        <v>104</v>
      </c>
      <c r="P65" s="21" t="s">
        <v>568</v>
      </c>
      <c r="Q65" s="21" t="s">
        <v>569</v>
      </c>
      <c r="R65" s="21" t="s">
        <v>570</v>
      </c>
    </row>
    <row r="66" customFormat="false" ht="15" hidden="false" customHeight="false" outlineLevel="0" collapsed="false">
      <c r="A66" s="22" t="s">
        <v>571</v>
      </c>
      <c r="B66" s="10" t="s">
        <v>47</v>
      </c>
      <c r="C66" s="15" t="s">
        <v>551</v>
      </c>
      <c r="D66" s="10" t="s">
        <v>572</v>
      </c>
      <c r="E66" s="11" t="s">
        <v>154</v>
      </c>
      <c r="F66" s="11" t="s">
        <v>192</v>
      </c>
      <c r="G66" s="15" t="s">
        <v>154</v>
      </c>
      <c r="H66" s="15" t="s">
        <v>573</v>
      </c>
      <c r="I66" s="15" t="s">
        <v>194</v>
      </c>
      <c r="J66" s="15" t="s">
        <v>154</v>
      </c>
      <c r="K66" s="11" t="s">
        <v>195</v>
      </c>
      <c r="L66" s="15" t="s">
        <v>574</v>
      </c>
      <c r="M66" s="11" t="n">
        <f aca="false">COUNTIF(Taches!$B$6:$B$250,$A66)</f>
        <v>1</v>
      </c>
      <c r="N66" s="11" t="n">
        <v>2</v>
      </c>
      <c r="O66" s="20" t="s">
        <v>76</v>
      </c>
      <c r="P66" s="21" t="s">
        <v>153</v>
      </c>
      <c r="Q66" s="21" t="s">
        <v>154</v>
      </c>
      <c r="R66" s="21" t="s">
        <v>154</v>
      </c>
    </row>
    <row r="67" customFormat="false" ht="23.85" hidden="false" customHeight="false" outlineLevel="0" collapsed="false">
      <c r="A67" s="22" t="s">
        <v>575</v>
      </c>
      <c r="B67" s="10" t="s">
        <v>47</v>
      </c>
      <c r="C67" s="15" t="s">
        <v>551</v>
      </c>
      <c r="D67" s="10" t="s">
        <v>576</v>
      </c>
      <c r="E67" s="11" t="s">
        <v>154</v>
      </c>
      <c r="F67" s="11" t="s">
        <v>192</v>
      </c>
      <c r="G67" s="15" t="s">
        <v>154</v>
      </c>
      <c r="H67" s="15" t="s">
        <v>577</v>
      </c>
      <c r="I67" s="15" t="s">
        <v>194</v>
      </c>
      <c r="J67" s="15" t="s">
        <v>154</v>
      </c>
      <c r="K67" s="11" t="s">
        <v>195</v>
      </c>
      <c r="L67" s="15" t="s">
        <v>578</v>
      </c>
      <c r="M67" s="11" t="n">
        <f aca="false">COUNTIF(Taches!$B$6:$B$250,$A67)</f>
        <v>1</v>
      </c>
      <c r="N67" s="11" t="n">
        <v>2</v>
      </c>
      <c r="O67" s="20" t="s">
        <v>76</v>
      </c>
      <c r="P67" s="21" t="s">
        <v>153</v>
      </c>
      <c r="Q67" s="21" t="s">
        <v>154</v>
      </c>
      <c r="R67" s="21" t="s">
        <v>154</v>
      </c>
    </row>
    <row r="68" customFormat="false" ht="15" hidden="false" customHeight="false" outlineLevel="0" collapsed="false">
      <c r="A68" s="22" t="s">
        <v>579</v>
      </c>
      <c r="B68" s="10" t="s">
        <v>47</v>
      </c>
      <c r="C68" s="15" t="s">
        <v>551</v>
      </c>
      <c r="D68" s="10" t="s">
        <v>580</v>
      </c>
      <c r="E68" s="11" t="s">
        <v>581</v>
      </c>
      <c r="F68" s="11" t="s">
        <v>192</v>
      </c>
      <c r="G68" s="15" t="s">
        <v>154</v>
      </c>
      <c r="H68" s="15" t="s">
        <v>582</v>
      </c>
      <c r="I68" s="15" t="s">
        <v>202</v>
      </c>
      <c r="J68" s="15" t="s">
        <v>583</v>
      </c>
      <c r="K68" s="11" t="s">
        <v>313</v>
      </c>
      <c r="L68" s="15" t="s">
        <v>584</v>
      </c>
      <c r="M68" s="11" t="n">
        <f aca="false">COUNTIF(Taches!$B$6:$B$250,$A68)</f>
        <v>1</v>
      </c>
      <c r="N68" s="11" t="n">
        <v>2</v>
      </c>
      <c r="O68" s="20" t="s">
        <v>76</v>
      </c>
      <c r="P68" s="21" t="s">
        <v>153</v>
      </c>
      <c r="Q68" s="21" t="s">
        <v>154</v>
      </c>
      <c r="R68" s="21" t="s">
        <v>154</v>
      </c>
    </row>
    <row r="69" customFormat="false" ht="35.05" hidden="false" customHeight="false" outlineLevel="0" collapsed="false">
      <c r="A69" s="22" t="s">
        <v>585</v>
      </c>
      <c r="B69" s="10" t="s">
        <v>48</v>
      </c>
      <c r="C69" s="15" t="s">
        <v>48</v>
      </c>
      <c r="D69" s="10" t="s">
        <v>586</v>
      </c>
      <c r="E69" s="11" t="s">
        <v>224</v>
      </c>
      <c r="F69" s="11" t="s">
        <v>192</v>
      </c>
      <c r="G69" s="15" t="s">
        <v>154</v>
      </c>
      <c r="H69" s="15" t="s">
        <v>587</v>
      </c>
      <c r="I69" s="15" t="s">
        <v>211</v>
      </c>
      <c r="J69" s="15" t="s">
        <v>228</v>
      </c>
      <c r="K69" s="11" t="s">
        <v>313</v>
      </c>
      <c r="L69" s="15" t="s">
        <v>588</v>
      </c>
      <c r="M69" s="11" t="n">
        <f aca="false">COUNTIF(Taches!$B$6:$B$250,$A69)</f>
        <v>2</v>
      </c>
      <c r="N69" s="11" t="n">
        <v>1</v>
      </c>
      <c r="O69" s="20" t="s">
        <v>75</v>
      </c>
      <c r="P69" s="21" t="s">
        <v>589</v>
      </c>
      <c r="Q69" s="21" t="s">
        <v>590</v>
      </c>
      <c r="R69" s="21" t="s">
        <v>591</v>
      </c>
    </row>
    <row r="70" customFormat="false" ht="23.85" hidden="false" customHeight="false" outlineLevel="0" collapsed="false">
      <c r="A70" s="22" t="s">
        <v>592</v>
      </c>
      <c r="B70" s="10" t="s">
        <v>48</v>
      </c>
      <c r="C70" s="15" t="s">
        <v>48</v>
      </c>
      <c r="D70" s="10" t="s">
        <v>593</v>
      </c>
      <c r="E70" s="11" t="s">
        <v>247</v>
      </c>
      <c r="F70" s="11" t="s">
        <v>192</v>
      </c>
      <c r="G70" s="15" t="s">
        <v>154</v>
      </c>
      <c r="H70" s="15" t="s">
        <v>594</v>
      </c>
      <c r="I70" s="15" t="s">
        <v>194</v>
      </c>
      <c r="J70" s="15" t="s">
        <v>154</v>
      </c>
      <c r="K70" s="11" t="s">
        <v>195</v>
      </c>
      <c r="L70" s="15" t="s">
        <v>595</v>
      </c>
      <c r="M70" s="11" t="n">
        <f aca="false">COUNTIF(Taches!$B$6:$B$250,$A70)</f>
        <v>1</v>
      </c>
      <c r="N70" s="11" t="n">
        <v>1</v>
      </c>
      <c r="O70" s="20" t="s">
        <v>104</v>
      </c>
      <c r="P70" s="21" t="s">
        <v>596</v>
      </c>
      <c r="Q70" s="21" t="s">
        <v>416</v>
      </c>
      <c r="R70" s="21" t="s">
        <v>597</v>
      </c>
    </row>
    <row r="71" customFormat="false" ht="23.85" hidden="false" customHeight="false" outlineLevel="0" collapsed="false">
      <c r="A71" s="22" t="s">
        <v>598</v>
      </c>
      <c r="B71" s="10" t="s">
        <v>48</v>
      </c>
      <c r="C71" s="15" t="s">
        <v>48</v>
      </c>
      <c r="D71" s="10" t="s">
        <v>599</v>
      </c>
      <c r="E71" s="11" t="s">
        <v>247</v>
      </c>
      <c r="F71" s="11" t="s">
        <v>192</v>
      </c>
      <c r="G71" s="15" t="s">
        <v>154</v>
      </c>
      <c r="H71" s="15" t="s">
        <v>600</v>
      </c>
      <c r="I71" s="15" t="s">
        <v>202</v>
      </c>
      <c r="J71" s="15" t="s">
        <v>601</v>
      </c>
      <c r="K71" s="11" t="s">
        <v>350</v>
      </c>
      <c r="L71" s="15" t="s">
        <v>602</v>
      </c>
      <c r="M71" s="11" t="n">
        <f aca="false">COUNTIF(Taches!$B$6:$B$250,$A71)</f>
        <v>1</v>
      </c>
      <c r="N71" s="11" t="n">
        <v>2</v>
      </c>
      <c r="O71" s="20" t="s">
        <v>104</v>
      </c>
      <c r="P71" s="21" t="s">
        <v>603</v>
      </c>
      <c r="Q71" s="21" t="s">
        <v>604</v>
      </c>
      <c r="R71" s="21" t="s">
        <v>154</v>
      </c>
    </row>
    <row r="72" customFormat="false" ht="23.85" hidden="false" customHeight="false" outlineLevel="0" collapsed="false">
      <c r="A72" s="22" t="s">
        <v>605</v>
      </c>
      <c r="B72" s="10" t="s">
        <v>48</v>
      </c>
      <c r="C72" s="15" t="s">
        <v>48</v>
      </c>
      <c r="D72" s="10" t="s">
        <v>606</v>
      </c>
      <c r="E72" s="11" t="s">
        <v>247</v>
      </c>
      <c r="F72" s="11" t="s">
        <v>192</v>
      </c>
      <c r="G72" s="15" t="s">
        <v>154</v>
      </c>
      <c r="H72" s="15" t="s">
        <v>607</v>
      </c>
      <c r="I72" s="15" t="s">
        <v>608</v>
      </c>
      <c r="J72" s="15" t="s">
        <v>275</v>
      </c>
      <c r="K72" s="11" t="s">
        <v>131</v>
      </c>
      <c r="L72" s="15" t="s">
        <v>609</v>
      </c>
      <c r="M72" s="11" t="n">
        <f aca="false">COUNTIF(Taches!$B$6:$B$250,$A72)</f>
        <v>1</v>
      </c>
      <c r="N72" s="11" t="n">
        <v>2</v>
      </c>
      <c r="O72" s="20" t="s">
        <v>104</v>
      </c>
      <c r="P72" s="21" t="s">
        <v>610</v>
      </c>
      <c r="Q72" s="21" t="s">
        <v>611</v>
      </c>
      <c r="R72" s="21" t="s">
        <v>154</v>
      </c>
    </row>
    <row r="73" customFormat="false" ht="35.05" hidden="false" customHeight="false" outlineLevel="0" collapsed="false">
      <c r="A73" s="22" t="s">
        <v>612</v>
      </c>
      <c r="B73" s="10" t="s">
        <v>48</v>
      </c>
      <c r="C73" s="15" t="s">
        <v>48</v>
      </c>
      <c r="D73" s="10" t="s">
        <v>613</v>
      </c>
      <c r="E73" s="11" t="s">
        <v>224</v>
      </c>
      <c r="F73" s="11" t="s">
        <v>225</v>
      </c>
      <c r="G73" s="15" t="s">
        <v>614</v>
      </c>
      <c r="H73" s="15" t="s">
        <v>615</v>
      </c>
      <c r="I73" s="15" t="s">
        <v>616</v>
      </c>
      <c r="J73" s="15" t="s">
        <v>617</v>
      </c>
      <c r="K73" s="11" t="s">
        <v>618</v>
      </c>
      <c r="L73" s="15" t="s">
        <v>619</v>
      </c>
      <c r="M73" s="11" t="n">
        <f aca="false">COUNTIF(Taches!$B$6:$B$250,$A73)</f>
        <v>2</v>
      </c>
      <c r="N73" s="11" t="n">
        <v>1</v>
      </c>
      <c r="O73" s="20" t="s">
        <v>104</v>
      </c>
      <c r="P73" s="21" t="s">
        <v>620</v>
      </c>
      <c r="Q73" s="21" t="s">
        <v>621</v>
      </c>
      <c r="R73" s="21" t="s">
        <v>154</v>
      </c>
    </row>
    <row r="74" customFormat="false" ht="23.85" hidden="false" customHeight="false" outlineLevel="0" collapsed="false">
      <c r="A74" s="22" t="s">
        <v>622</v>
      </c>
      <c r="B74" s="10" t="s">
        <v>48</v>
      </c>
      <c r="C74" s="15" t="s">
        <v>48</v>
      </c>
      <c r="D74" s="10" t="s">
        <v>623</v>
      </c>
      <c r="E74" s="11" t="s">
        <v>154</v>
      </c>
      <c r="F74" s="11" t="s">
        <v>624</v>
      </c>
      <c r="G74" s="15" t="s">
        <v>625</v>
      </c>
      <c r="H74" s="15" t="s">
        <v>626</v>
      </c>
      <c r="I74" s="15" t="s">
        <v>627</v>
      </c>
      <c r="J74" s="15" t="s">
        <v>628</v>
      </c>
      <c r="K74" s="11" t="s">
        <v>629</v>
      </c>
      <c r="L74" s="15" t="s">
        <v>630</v>
      </c>
      <c r="M74" s="11" t="n">
        <f aca="false">COUNTIF(Taches!$B$6:$B$250,$A74)</f>
        <v>1</v>
      </c>
      <c r="N74" s="11" t="n">
        <v>1</v>
      </c>
      <c r="O74" s="20" t="s">
        <v>75</v>
      </c>
      <c r="P74" s="21" t="s">
        <v>153</v>
      </c>
      <c r="Q74" s="21" t="s">
        <v>154</v>
      </c>
      <c r="R74" s="21" t="s">
        <v>631</v>
      </c>
    </row>
    <row r="75" customFormat="false" ht="23.85" hidden="false" customHeight="false" outlineLevel="0" collapsed="false">
      <c r="A75" s="22" t="s">
        <v>632</v>
      </c>
      <c r="B75" s="10" t="s">
        <v>48</v>
      </c>
      <c r="C75" s="15" t="s">
        <v>48</v>
      </c>
      <c r="D75" s="10" t="s">
        <v>633</v>
      </c>
      <c r="E75" s="11" t="s">
        <v>96</v>
      </c>
      <c r="F75" s="11" t="s">
        <v>192</v>
      </c>
      <c r="G75" s="15" t="s">
        <v>154</v>
      </c>
      <c r="H75" s="15" t="s">
        <v>634</v>
      </c>
      <c r="I75" s="15" t="s">
        <v>194</v>
      </c>
      <c r="J75" s="15" t="s">
        <v>154</v>
      </c>
      <c r="K75" s="11" t="s">
        <v>533</v>
      </c>
      <c r="L75" s="15" t="s">
        <v>635</v>
      </c>
      <c r="M75" s="11" t="n">
        <f aca="false">COUNTIF(Taches!$B$6:$B$250,$A75)</f>
        <v>1</v>
      </c>
      <c r="N75" s="11" t="n">
        <v>3</v>
      </c>
      <c r="O75" s="20" t="s">
        <v>104</v>
      </c>
      <c r="P75" s="21" t="s">
        <v>636</v>
      </c>
      <c r="Q75" s="21" t="s">
        <v>637</v>
      </c>
      <c r="R75" s="21" t="s">
        <v>154</v>
      </c>
    </row>
    <row r="76" customFormat="false" ht="23.85" hidden="false" customHeight="false" outlineLevel="0" collapsed="false">
      <c r="A76" s="17" t="s">
        <v>638</v>
      </c>
      <c r="B76" s="18" t="s">
        <v>47</v>
      </c>
      <c r="C76" s="19" t="s">
        <v>639</v>
      </c>
      <c r="D76" s="18" t="s">
        <v>640</v>
      </c>
      <c r="E76" s="16" t="s">
        <v>641</v>
      </c>
      <c r="F76" s="17" t="s">
        <v>97</v>
      </c>
      <c r="G76" s="19" t="s">
        <v>642</v>
      </c>
      <c r="H76" s="19" t="s">
        <v>643</v>
      </c>
      <c r="I76" s="19" t="s">
        <v>194</v>
      </c>
      <c r="J76" s="19" t="s">
        <v>644</v>
      </c>
      <c r="K76" s="16" t="s">
        <v>338</v>
      </c>
      <c r="L76" s="19" t="s">
        <v>645</v>
      </c>
      <c r="M76" s="16" t="n">
        <f aca="false">COUNTIF(Taches!$B$6:$B$250,$A76)</f>
        <v>2</v>
      </c>
      <c r="N76" s="16" t="n">
        <v>1</v>
      </c>
      <c r="O76" s="20" t="s">
        <v>439</v>
      </c>
      <c r="P76" s="21" t="s">
        <v>646</v>
      </c>
      <c r="Q76" s="21" t="s">
        <v>647</v>
      </c>
      <c r="R76" s="21" t="s">
        <v>648</v>
      </c>
    </row>
    <row r="77" customFormat="false" ht="23.85" hidden="false" customHeight="false" outlineLevel="0" collapsed="false">
      <c r="A77" s="22" t="s">
        <v>649</v>
      </c>
      <c r="B77" s="10" t="s">
        <v>47</v>
      </c>
      <c r="C77" s="15" t="s">
        <v>639</v>
      </c>
      <c r="D77" s="10" t="s">
        <v>650</v>
      </c>
      <c r="E77" s="11" t="s">
        <v>472</v>
      </c>
      <c r="F77" s="11" t="s">
        <v>651</v>
      </c>
      <c r="G77" s="15" t="s">
        <v>154</v>
      </c>
      <c r="H77" s="15" t="s">
        <v>652</v>
      </c>
      <c r="I77" s="15" t="s">
        <v>194</v>
      </c>
      <c r="J77" s="15" t="s">
        <v>154</v>
      </c>
      <c r="K77" s="11" t="s">
        <v>653</v>
      </c>
      <c r="L77" s="15" t="s">
        <v>654</v>
      </c>
      <c r="M77" s="11" t="n">
        <f aca="false">COUNTIF(Taches!$B$6:$B$250,$A77)</f>
        <v>1</v>
      </c>
      <c r="N77" s="11" t="n">
        <v>1</v>
      </c>
      <c r="O77" s="20" t="s">
        <v>439</v>
      </c>
      <c r="P77" s="21" t="s">
        <v>646</v>
      </c>
      <c r="Q77" s="21" t="s">
        <v>655</v>
      </c>
      <c r="R77" s="21" t="s">
        <v>656</v>
      </c>
    </row>
    <row r="78" customFormat="false" ht="23.85" hidden="false" customHeight="false" outlineLevel="0" collapsed="false">
      <c r="A78" s="22" t="s">
        <v>657</v>
      </c>
      <c r="B78" s="10" t="s">
        <v>47</v>
      </c>
      <c r="C78" s="15" t="s">
        <v>639</v>
      </c>
      <c r="D78" s="10" t="s">
        <v>658</v>
      </c>
      <c r="E78" s="11" t="s">
        <v>659</v>
      </c>
      <c r="F78" s="11" t="s">
        <v>225</v>
      </c>
      <c r="G78" s="15" t="s">
        <v>660</v>
      </c>
      <c r="H78" s="15" t="s">
        <v>661</v>
      </c>
      <c r="I78" s="15" t="s">
        <v>662</v>
      </c>
      <c r="J78" s="15" t="s">
        <v>663</v>
      </c>
      <c r="K78" s="11" t="s">
        <v>664</v>
      </c>
      <c r="L78" s="15" t="s">
        <v>665</v>
      </c>
      <c r="M78" s="11" t="n">
        <f aca="false">COUNTIF(Taches!$B$6:$B$250,$A78)</f>
        <v>1</v>
      </c>
      <c r="N78" s="11" t="n">
        <v>3</v>
      </c>
      <c r="O78" s="20" t="s">
        <v>439</v>
      </c>
      <c r="P78" s="21" t="s">
        <v>666</v>
      </c>
      <c r="Q78" s="21" t="s">
        <v>667</v>
      </c>
      <c r="R78" s="21" t="s">
        <v>154</v>
      </c>
    </row>
    <row r="79" customFormat="false" ht="23.85" hidden="false" customHeight="false" outlineLevel="0" collapsed="false">
      <c r="A79" s="22" t="s">
        <v>668</v>
      </c>
      <c r="B79" s="10" t="s">
        <v>47</v>
      </c>
      <c r="C79" s="15" t="s">
        <v>639</v>
      </c>
      <c r="D79" s="10" t="s">
        <v>669</v>
      </c>
      <c r="E79" s="11" t="s">
        <v>513</v>
      </c>
      <c r="F79" s="11" t="s">
        <v>192</v>
      </c>
      <c r="G79" s="15" t="s">
        <v>154</v>
      </c>
      <c r="H79" s="15" t="s">
        <v>670</v>
      </c>
      <c r="I79" s="15" t="s">
        <v>194</v>
      </c>
      <c r="J79" s="15" t="s">
        <v>154</v>
      </c>
      <c r="K79" s="11" t="s">
        <v>387</v>
      </c>
      <c r="L79" s="15" t="s">
        <v>671</v>
      </c>
      <c r="M79" s="11" t="n">
        <f aca="false">COUNTIF(Taches!$B$6:$B$250,$A79)</f>
        <v>1</v>
      </c>
      <c r="N79" s="11" t="n">
        <v>2</v>
      </c>
      <c r="O79" s="20" t="s">
        <v>104</v>
      </c>
      <c r="P79" s="21" t="s">
        <v>672</v>
      </c>
      <c r="Q79" s="21" t="s">
        <v>490</v>
      </c>
      <c r="R79" s="21" t="s">
        <v>673</v>
      </c>
    </row>
    <row r="80" customFormat="false" ht="23.85" hidden="false" customHeight="false" outlineLevel="0" collapsed="false">
      <c r="A80" s="22" t="s">
        <v>674</v>
      </c>
      <c r="B80" s="10" t="s">
        <v>47</v>
      </c>
      <c r="C80" s="15" t="s">
        <v>639</v>
      </c>
      <c r="D80" s="10" t="s">
        <v>675</v>
      </c>
      <c r="E80" s="11" t="s">
        <v>485</v>
      </c>
      <c r="F80" s="11" t="s">
        <v>225</v>
      </c>
      <c r="G80" s="15" t="s">
        <v>676</v>
      </c>
      <c r="H80" s="15" t="s">
        <v>677</v>
      </c>
      <c r="I80" s="15" t="s">
        <v>194</v>
      </c>
      <c r="J80" s="15" t="s">
        <v>154</v>
      </c>
      <c r="K80" s="11" t="s">
        <v>195</v>
      </c>
      <c r="L80" s="15" t="s">
        <v>678</v>
      </c>
      <c r="M80" s="11" t="n">
        <f aca="false">COUNTIF(Taches!$B$6:$B$250,$A80)</f>
        <v>1</v>
      </c>
      <c r="N80" s="11" t="n">
        <v>3</v>
      </c>
      <c r="O80" s="20" t="s">
        <v>104</v>
      </c>
      <c r="P80" s="21" t="s">
        <v>679</v>
      </c>
      <c r="Q80" s="21" t="s">
        <v>382</v>
      </c>
      <c r="R80" s="21" t="s">
        <v>673</v>
      </c>
    </row>
    <row r="81" customFormat="false" ht="23.85" hidden="false" customHeight="false" outlineLevel="0" collapsed="false">
      <c r="A81" s="22" t="s">
        <v>680</v>
      </c>
      <c r="B81" s="10" t="s">
        <v>47</v>
      </c>
      <c r="C81" s="15" t="s">
        <v>639</v>
      </c>
      <c r="D81" s="10" t="s">
        <v>681</v>
      </c>
      <c r="E81" s="11" t="s">
        <v>247</v>
      </c>
      <c r="F81" s="11" t="s">
        <v>192</v>
      </c>
      <c r="G81" s="15" t="s">
        <v>154</v>
      </c>
      <c r="H81" s="15" t="s">
        <v>682</v>
      </c>
      <c r="I81" s="15" t="s">
        <v>194</v>
      </c>
      <c r="J81" s="15" t="s">
        <v>154</v>
      </c>
      <c r="K81" s="11" t="s">
        <v>195</v>
      </c>
      <c r="L81" s="15" t="s">
        <v>683</v>
      </c>
      <c r="M81" s="11" t="n">
        <f aca="false">COUNTIF(Taches!$B$6:$B$250,$A81)</f>
        <v>1</v>
      </c>
      <c r="N81" s="11" t="n">
        <v>3</v>
      </c>
      <c r="O81" s="20" t="s">
        <v>104</v>
      </c>
      <c r="P81" s="21" t="s">
        <v>684</v>
      </c>
      <c r="Q81" s="21" t="s">
        <v>490</v>
      </c>
      <c r="R81" s="21" t="s">
        <v>154</v>
      </c>
    </row>
    <row r="82" customFormat="false" ht="35.05" hidden="false" customHeight="false" outlineLevel="0" collapsed="false">
      <c r="A82" s="17" t="s">
        <v>685</v>
      </c>
      <c r="B82" s="18" t="s">
        <v>47</v>
      </c>
      <c r="C82" s="19" t="s">
        <v>639</v>
      </c>
      <c r="D82" s="18" t="s">
        <v>686</v>
      </c>
      <c r="E82" s="16" t="s">
        <v>110</v>
      </c>
      <c r="F82" s="17" t="s">
        <v>97</v>
      </c>
      <c r="G82" s="19" t="s">
        <v>687</v>
      </c>
      <c r="H82" s="19" t="s">
        <v>688</v>
      </c>
      <c r="I82" s="19" t="s">
        <v>689</v>
      </c>
      <c r="J82" s="19" t="s">
        <v>690</v>
      </c>
      <c r="K82" s="16" t="s">
        <v>691</v>
      </c>
      <c r="L82" s="19" t="s">
        <v>692</v>
      </c>
      <c r="M82" s="16" t="n">
        <f aca="false">COUNTIF(Taches!$B$6:$B$250,$A82)</f>
        <v>2</v>
      </c>
      <c r="N82" s="16" t="n">
        <v>2</v>
      </c>
      <c r="O82" s="20" t="s">
        <v>104</v>
      </c>
      <c r="P82" s="21" t="s">
        <v>693</v>
      </c>
      <c r="Q82" s="21" t="s">
        <v>694</v>
      </c>
      <c r="R82" s="21" t="s">
        <v>695</v>
      </c>
    </row>
    <row r="83" customFormat="false" ht="23.85" hidden="false" customHeight="false" outlineLevel="0" collapsed="false">
      <c r="A83" s="22" t="s">
        <v>696</v>
      </c>
      <c r="B83" s="10" t="s">
        <v>47</v>
      </c>
      <c r="C83" s="15" t="s">
        <v>697</v>
      </c>
      <c r="D83" s="10" t="s">
        <v>698</v>
      </c>
      <c r="E83" s="11" t="s">
        <v>96</v>
      </c>
      <c r="F83" s="11" t="s">
        <v>699</v>
      </c>
      <c r="G83" s="15" t="s">
        <v>700</v>
      </c>
      <c r="H83" s="15" t="s">
        <v>701</v>
      </c>
      <c r="I83" s="15" t="s">
        <v>702</v>
      </c>
      <c r="J83" s="15" t="s">
        <v>703</v>
      </c>
      <c r="K83" s="11" t="s">
        <v>704</v>
      </c>
      <c r="L83" s="15" t="s">
        <v>705</v>
      </c>
      <c r="M83" s="11" t="n">
        <f aca="false">COUNTIF(Taches!$B$6:$B$250,$A83)</f>
        <v>2</v>
      </c>
      <c r="N83" s="11" t="n">
        <v>2</v>
      </c>
      <c r="O83" s="20" t="s">
        <v>104</v>
      </c>
      <c r="P83" s="21" t="s">
        <v>706</v>
      </c>
      <c r="Q83" s="21" t="s">
        <v>707</v>
      </c>
      <c r="R83" s="21" t="s">
        <v>154</v>
      </c>
    </row>
    <row r="84" customFormat="false" ht="23.85" hidden="false" customHeight="false" outlineLevel="0" collapsed="false">
      <c r="A84" s="22" t="s">
        <v>708</v>
      </c>
      <c r="B84" s="10" t="s">
        <v>47</v>
      </c>
      <c r="C84" s="15" t="s">
        <v>697</v>
      </c>
      <c r="D84" s="10" t="s">
        <v>709</v>
      </c>
      <c r="E84" s="11" t="s">
        <v>96</v>
      </c>
      <c r="F84" s="11" t="s">
        <v>699</v>
      </c>
      <c r="G84" s="15" t="s">
        <v>710</v>
      </c>
      <c r="H84" s="15" t="s">
        <v>711</v>
      </c>
      <c r="I84" s="15" t="s">
        <v>712</v>
      </c>
      <c r="J84" s="15" t="s">
        <v>154</v>
      </c>
      <c r="K84" s="11" t="s">
        <v>704</v>
      </c>
      <c r="L84" s="15" t="s">
        <v>713</v>
      </c>
      <c r="M84" s="11" t="n">
        <f aca="false">COUNTIF(Taches!$B$6:$B$250,$A84)</f>
        <v>1</v>
      </c>
      <c r="N84" s="11" t="n">
        <v>2</v>
      </c>
      <c r="O84" s="20" t="s">
        <v>104</v>
      </c>
      <c r="P84" s="21" t="s">
        <v>714</v>
      </c>
      <c r="Q84" s="21" t="s">
        <v>382</v>
      </c>
      <c r="R84" s="21" t="s">
        <v>154</v>
      </c>
    </row>
    <row r="85" customFormat="false" ht="23.85" hidden="false" customHeight="false" outlineLevel="0" collapsed="false">
      <c r="A85" s="22" t="s">
        <v>715</v>
      </c>
      <c r="B85" s="10" t="s">
        <v>47</v>
      </c>
      <c r="C85" s="15" t="s">
        <v>697</v>
      </c>
      <c r="D85" s="10" t="s">
        <v>716</v>
      </c>
      <c r="E85" s="11" t="s">
        <v>717</v>
      </c>
      <c r="F85" s="11" t="s">
        <v>192</v>
      </c>
      <c r="G85" s="15" t="s">
        <v>154</v>
      </c>
      <c r="H85" s="15" t="s">
        <v>718</v>
      </c>
      <c r="I85" s="15" t="s">
        <v>194</v>
      </c>
      <c r="J85" s="15" t="s">
        <v>154</v>
      </c>
      <c r="K85" s="11" t="s">
        <v>195</v>
      </c>
      <c r="L85" s="15" t="s">
        <v>719</v>
      </c>
      <c r="M85" s="11" t="n">
        <f aca="false">COUNTIF(Taches!$B$6:$B$250,$A85)</f>
        <v>1</v>
      </c>
      <c r="N85" s="11" t="n">
        <v>2</v>
      </c>
      <c r="O85" s="20" t="s">
        <v>75</v>
      </c>
      <c r="P85" s="21" t="s">
        <v>720</v>
      </c>
      <c r="Q85" s="21" t="s">
        <v>721</v>
      </c>
      <c r="R85" s="21" t="s">
        <v>722</v>
      </c>
    </row>
    <row r="86" customFormat="false" ht="23.85" hidden="false" customHeight="false" outlineLevel="0" collapsed="false">
      <c r="A86" s="22" t="s">
        <v>723</v>
      </c>
      <c r="B86" s="10" t="s">
        <v>47</v>
      </c>
      <c r="C86" s="15" t="s">
        <v>697</v>
      </c>
      <c r="D86" s="10" t="s">
        <v>724</v>
      </c>
      <c r="E86" s="11" t="s">
        <v>191</v>
      </c>
      <c r="F86" s="11" t="s">
        <v>192</v>
      </c>
      <c r="G86" s="15" t="s">
        <v>154</v>
      </c>
      <c r="H86" s="15" t="s">
        <v>725</v>
      </c>
      <c r="I86" s="15" t="s">
        <v>194</v>
      </c>
      <c r="J86" s="15" t="s">
        <v>154</v>
      </c>
      <c r="K86" s="11" t="s">
        <v>195</v>
      </c>
      <c r="L86" s="15" t="s">
        <v>726</v>
      </c>
      <c r="M86" s="11" t="n">
        <f aca="false">COUNTIF(Taches!$B$6:$B$250,$A86)</f>
        <v>1</v>
      </c>
      <c r="N86" s="11" t="n">
        <v>2</v>
      </c>
      <c r="O86" s="20" t="s">
        <v>104</v>
      </c>
      <c r="P86" s="21" t="s">
        <v>727</v>
      </c>
      <c r="Q86" s="21" t="s">
        <v>728</v>
      </c>
      <c r="R86" s="21" t="s">
        <v>154</v>
      </c>
    </row>
    <row r="87" customFormat="false" ht="23.85" hidden="false" customHeight="false" outlineLevel="0" collapsed="false">
      <c r="A87" s="22" t="s">
        <v>729</v>
      </c>
      <c r="B87" s="10" t="s">
        <v>47</v>
      </c>
      <c r="C87" s="15" t="s">
        <v>697</v>
      </c>
      <c r="D87" s="10" t="s">
        <v>730</v>
      </c>
      <c r="E87" s="11" t="s">
        <v>247</v>
      </c>
      <c r="F87" s="11" t="s">
        <v>192</v>
      </c>
      <c r="G87" s="15" t="s">
        <v>154</v>
      </c>
      <c r="H87" s="15" t="s">
        <v>731</v>
      </c>
      <c r="I87" s="15" t="s">
        <v>194</v>
      </c>
      <c r="J87" s="15" t="s">
        <v>154</v>
      </c>
      <c r="K87" s="11" t="s">
        <v>732</v>
      </c>
      <c r="L87" s="15" t="s">
        <v>733</v>
      </c>
      <c r="M87" s="11" t="n">
        <f aca="false">COUNTIF(Taches!$B$6:$B$250,$A87)</f>
        <v>1</v>
      </c>
      <c r="N87" s="11" t="n">
        <v>3</v>
      </c>
      <c r="O87" s="20" t="s">
        <v>104</v>
      </c>
      <c r="P87" s="21" t="s">
        <v>734</v>
      </c>
      <c r="Q87" s="21" t="s">
        <v>735</v>
      </c>
      <c r="R87" s="21" t="s">
        <v>154</v>
      </c>
    </row>
    <row r="88" customFormat="false" ht="35.05" hidden="false" customHeight="false" outlineLevel="0" collapsed="false">
      <c r="A88" s="22" t="s">
        <v>736</v>
      </c>
      <c r="B88" s="10" t="s">
        <v>46</v>
      </c>
      <c r="C88" s="15" t="s">
        <v>737</v>
      </c>
      <c r="D88" s="10" t="s">
        <v>738</v>
      </c>
      <c r="E88" s="11" t="s">
        <v>138</v>
      </c>
      <c r="F88" s="11" t="s">
        <v>739</v>
      </c>
      <c r="G88" s="15" t="s">
        <v>740</v>
      </c>
      <c r="H88" s="15" t="s">
        <v>741</v>
      </c>
      <c r="I88" s="15" t="s">
        <v>194</v>
      </c>
      <c r="J88" s="15" t="s">
        <v>742</v>
      </c>
      <c r="K88" s="11" t="s">
        <v>743</v>
      </c>
      <c r="L88" s="15" t="s">
        <v>744</v>
      </c>
      <c r="M88" s="11" t="n">
        <f aca="false">COUNTIF(Taches!$B$6:$B$250,$A88)</f>
        <v>1</v>
      </c>
      <c r="N88" s="11" t="n">
        <v>1</v>
      </c>
      <c r="O88" s="20" t="s">
        <v>75</v>
      </c>
      <c r="P88" s="21" t="s">
        <v>153</v>
      </c>
      <c r="Q88" s="21" t="s">
        <v>154</v>
      </c>
      <c r="R88" s="21" t="s">
        <v>745</v>
      </c>
    </row>
    <row r="89" customFormat="false" ht="23.85" hidden="false" customHeight="false" outlineLevel="0" collapsed="false">
      <c r="A89" s="22" t="s">
        <v>746</v>
      </c>
      <c r="B89" s="10" t="s">
        <v>46</v>
      </c>
      <c r="C89" s="15" t="s">
        <v>737</v>
      </c>
      <c r="D89" s="10" t="s">
        <v>747</v>
      </c>
      <c r="E89" s="11" t="s">
        <v>247</v>
      </c>
      <c r="F89" s="11" t="s">
        <v>192</v>
      </c>
      <c r="G89" s="15" t="s">
        <v>154</v>
      </c>
      <c r="H89" s="15" t="s">
        <v>748</v>
      </c>
      <c r="I89" s="15" t="s">
        <v>194</v>
      </c>
      <c r="J89" s="15" t="s">
        <v>154</v>
      </c>
      <c r="K89" s="11" t="s">
        <v>749</v>
      </c>
      <c r="L89" s="15" t="s">
        <v>750</v>
      </c>
      <c r="M89" s="11" t="n">
        <f aca="false">COUNTIF(Taches!$B$6:$B$250,$A89)</f>
        <v>2</v>
      </c>
      <c r="N89" s="11" t="n">
        <v>1</v>
      </c>
      <c r="O89" s="20" t="s">
        <v>104</v>
      </c>
      <c r="P89" s="21" t="s">
        <v>751</v>
      </c>
      <c r="Q89" s="21" t="s">
        <v>752</v>
      </c>
      <c r="R89" s="21" t="s">
        <v>753</v>
      </c>
    </row>
    <row r="90" customFormat="false" ht="23.85" hidden="false" customHeight="false" outlineLevel="0" collapsed="false">
      <c r="A90" s="22" t="s">
        <v>754</v>
      </c>
      <c r="B90" s="10" t="s">
        <v>46</v>
      </c>
      <c r="C90" s="15" t="s">
        <v>737</v>
      </c>
      <c r="D90" s="10" t="s">
        <v>755</v>
      </c>
      <c r="E90" s="11" t="s">
        <v>513</v>
      </c>
      <c r="F90" s="11" t="s">
        <v>192</v>
      </c>
      <c r="G90" s="15" t="s">
        <v>154</v>
      </c>
      <c r="H90" s="15" t="s">
        <v>756</v>
      </c>
      <c r="I90" s="15" t="s">
        <v>194</v>
      </c>
      <c r="J90" s="15" t="s">
        <v>154</v>
      </c>
      <c r="K90" s="11" t="s">
        <v>195</v>
      </c>
      <c r="L90" s="15" t="s">
        <v>757</v>
      </c>
      <c r="M90" s="11" t="n">
        <f aca="false">COUNTIF(Taches!$B$6:$B$250,$A90)</f>
        <v>3</v>
      </c>
      <c r="N90" s="11" t="n">
        <v>1</v>
      </c>
      <c r="O90" s="20" t="s">
        <v>104</v>
      </c>
      <c r="P90" s="21" t="s">
        <v>758</v>
      </c>
      <c r="Q90" s="21" t="s">
        <v>759</v>
      </c>
      <c r="R90" s="21" t="s">
        <v>154</v>
      </c>
    </row>
    <row r="91" customFormat="false" ht="23.85" hidden="false" customHeight="false" outlineLevel="0" collapsed="false">
      <c r="A91" s="22" t="s">
        <v>760</v>
      </c>
      <c r="B91" s="10" t="s">
        <v>46</v>
      </c>
      <c r="C91" s="15" t="s">
        <v>737</v>
      </c>
      <c r="D91" s="10" t="s">
        <v>761</v>
      </c>
      <c r="E91" s="11" t="s">
        <v>485</v>
      </c>
      <c r="F91" s="11" t="s">
        <v>192</v>
      </c>
      <c r="G91" s="15" t="s">
        <v>154</v>
      </c>
      <c r="H91" s="15" t="s">
        <v>762</v>
      </c>
      <c r="I91" s="15" t="s">
        <v>194</v>
      </c>
      <c r="J91" s="15" t="s">
        <v>154</v>
      </c>
      <c r="K91" s="11" t="s">
        <v>763</v>
      </c>
      <c r="L91" s="15" t="s">
        <v>764</v>
      </c>
      <c r="M91" s="11" t="n">
        <f aca="false">COUNTIF(Taches!$B$6:$B$250,$A91)</f>
        <v>1</v>
      </c>
      <c r="N91" s="11" t="n">
        <v>2</v>
      </c>
      <c r="O91" s="20" t="s">
        <v>104</v>
      </c>
      <c r="P91" s="21" t="s">
        <v>765</v>
      </c>
      <c r="Q91" s="21" t="s">
        <v>766</v>
      </c>
      <c r="R91" s="21" t="s">
        <v>154</v>
      </c>
    </row>
    <row r="92" customFormat="false" ht="35.05" hidden="false" customHeight="false" outlineLevel="0" collapsed="false">
      <c r="A92" s="22" t="s">
        <v>767</v>
      </c>
      <c r="B92" s="10" t="s">
        <v>46</v>
      </c>
      <c r="C92" s="15" t="s">
        <v>737</v>
      </c>
      <c r="D92" s="10" t="s">
        <v>768</v>
      </c>
      <c r="E92" s="11" t="s">
        <v>247</v>
      </c>
      <c r="F92" s="11" t="s">
        <v>179</v>
      </c>
      <c r="G92" s="15" t="s">
        <v>185</v>
      </c>
      <c r="H92" s="15" t="s">
        <v>170</v>
      </c>
      <c r="I92" s="15" t="s">
        <v>112</v>
      </c>
      <c r="J92" s="15" t="s">
        <v>113</v>
      </c>
      <c r="K92" s="11" t="s">
        <v>131</v>
      </c>
      <c r="L92" s="15" t="s">
        <v>769</v>
      </c>
      <c r="M92" s="11" t="n">
        <f aca="false">COUNTIF(Taches!$B$6:$B$250,$A92)</f>
        <v>1</v>
      </c>
      <c r="N92" s="11" t="n">
        <v>2</v>
      </c>
      <c r="O92" s="20" t="s">
        <v>104</v>
      </c>
      <c r="P92" s="21" t="s">
        <v>770</v>
      </c>
      <c r="Q92" s="21" t="s">
        <v>174</v>
      </c>
      <c r="R92" s="21" t="s">
        <v>175</v>
      </c>
    </row>
    <row r="93" customFormat="false" ht="23.85" hidden="false" customHeight="false" outlineLevel="0" collapsed="false">
      <c r="A93" s="22" t="s">
        <v>771</v>
      </c>
      <c r="B93" s="10" t="s">
        <v>46</v>
      </c>
      <c r="C93" s="15" t="s">
        <v>737</v>
      </c>
      <c r="D93" s="10" t="s">
        <v>772</v>
      </c>
      <c r="E93" s="11" t="s">
        <v>485</v>
      </c>
      <c r="F93" s="11" t="s">
        <v>192</v>
      </c>
      <c r="G93" s="15" t="s">
        <v>154</v>
      </c>
      <c r="H93" s="15" t="s">
        <v>773</v>
      </c>
      <c r="I93" s="15" t="s">
        <v>194</v>
      </c>
      <c r="J93" s="15" t="s">
        <v>154</v>
      </c>
      <c r="K93" s="11" t="s">
        <v>774</v>
      </c>
      <c r="L93" s="15" t="s">
        <v>775</v>
      </c>
      <c r="M93" s="11" t="n">
        <f aca="false">COUNTIF(Taches!$B$6:$B$250,$A93)</f>
        <v>1</v>
      </c>
      <c r="N93" s="11" t="n">
        <v>3</v>
      </c>
      <c r="O93" s="20" t="s">
        <v>104</v>
      </c>
      <c r="P93" s="21" t="s">
        <v>776</v>
      </c>
      <c r="Q93" s="21" t="s">
        <v>382</v>
      </c>
      <c r="R93" s="21" t="s">
        <v>154</v>
      </c>
    </row>
    <row r="94" customFormat="false" ht="23.85" hidden="false" customHeight="false" outlineLevel="0" collapsed="false">
      <c r="A94" s="17" t="s">
        <v>777</v>
      </c>
      <c r="B94" s="18" t="s">
        <v>46</v>
      </c>
      <c r="C94" s="19" t="s">
        <v>737</v>
      </c>
      <c r="D94" s="18" t="s">
        <v>778</v>
      </c>
      <c r="E94" s="16" t="s">
        <v>302</v>
      </c>
      <c r="F94" s="17" t="s">
        <v>97</v>
      </c>
      <c r="G94" s="19" t="s">
        <v>779</v>
      </c>
      <c r="H94" s="19" t="s">
        <v>780</v>
      </c>
      <c r="I94" s="19" t="s">
        <v>194</v>
      </c>
      <c r="J94" s="19" t="s">
        <v>781</v>
      </c>
      <c r="K94" s="16" t="s">
        <v>763</v>
      </c>
      <c r="L94" s="19" t="s">
        <v>782</v>
      </c>
      <c r="M94" s="16" t="n">
        <f aca="false">COUNTIF(Taches!$B$6:$B$250,$A94)</f>
        <v>1</v>
      </c>
      <c r="N94" s="16" t="n">
        <v>1</v>
      </c>
      <c r="O94" s="20" t="s">
        <v>104</v>
      </c>
      <c r="P94" s="21" t="s">
        <v>603</v>
      </c>
      <c r="Q94" s="21" t="s">
        <v>783</v>
      </c>
      <c r="R94" s="21" t="s">
        <v>784</v>
      </c>
    </row>
    <row r="95" customFormat="false" ht="23.85" hidden="false" customHeight="false" outlineLevel="0" collapsed="false">
      <c r="A95" s="22" t="s">
        <v>785</v>
      </c>
      <c r="B95" s="10" t="s">
        <v>46</v>
      </c>
      <c r="C95" s="15" t="s">
        <v>737</v>
      </c>
      <c r="D95" s="10" t="s">
        <v>786</v>
      </c>
      <c r="E95" s="11" t="s">
        <v>247</v>
      </c>
      <c r="F95" s="11" t="s">
        <v>192</v>
      </c>
      <c r="G95" s="15" t="s">
        <v>154</v>
      </c>
      <c r="H95" s="15" t="s">
        <v>787</v>
      </c>
      <c r="I95" s="15" t="s">
        <v>194</v>
      </c>
      <c r="J95" s="15" t="s">
        <v>154</v>
      </c>
      <c r="K95" s="11" t="s">
        <v>788</v>
      </c>
      <c r="L95" s="15" t="s">
        <v>789</v>
      </c>
      <c r="M95" s="11" t="n">
        <f aca="false">COUNTIF(Taches!$B$6:$B$250,$A95)</f>
        <v>1</v>
      </c>
      <c r="N95" s="11" t="n">
        <v>2</v>
      </c>
      <c r="O95" s="20" t="s">
        <v>104</v>
      </c>
      <c r="P95" s="21" t="s">
        <v>790</v>
      </c>
      <c r="Q95" s="21" t="s">
        <v>382</v>
      </c>
      <c r="R95" s="21" t="s">
        <v>154</v>
      </c>
    </row>
    <row r="96" customFormat="false" ht="23.85" hidden="false" customHeight="false" outlineLevel="0" collapsed="false">
      <c r="A96" s="22" t="s">
        <v>791</v>
      </c>
      <c r="B96" s="10" t="s">
        <v>46</v>
      </c>
      <c r="C96" s="15" t="s">
        <v>792</v>
      </c>
      <c r="D96" s="10" t="s">
        <v>793</v>
      </c>
      <c r="E96" s="11" t="s">
        <v>513</v>
      </c>
      <c r="F96" s="11" t="s">
        <v>192</v>
      </c>
      <c r="G96" s="15" t="s">
        <v>154</v>
      </c>
      <c r="H96" s="15" t="s">
        <v>794</v>
      </c>
      <c r="I96" s="15" t="s">
        <v>194</v>
      </c>
      <c r="J96" s="15" t="s">
        <v>154</v>
      </c>
      <c r="K96" s="11" t="s">
        <v>795</v>
      </c>
      <c r="L96" s="15" t="s">
        <v>796</v>
      </c>
      <c r="M96" s="11" t="n">
        <f aca="false">COUNTIF(Taches!$B$6:$B$250,$A96)</f>
        <v>2</v>
      </c>
      <c r="N96" s="11" t="n">
        <v>2</v>
      </c>
      <c r="O96" s="20" t="s">
        <v>104</v>
      </c>
      <c r="P96" s="21" t="s">
        <v>797</v>
      </c>
      <c r="Q96" s="21" t="s">
        <v>798</v>
      </c>
      <c r="R96" s="21" t="s">
        <v>799</v>
      </c>
    </row>
    <row r="97" customFormat="false" ht="23.85" hidden="false" customHeight="false" outlineLevel="0" collapsed="false">
      <c r="A97" s="22" t="s">
        <v>800</v>
      </c>
      <c r="B97" s="10" t="s">
        <v>46</v>
      </c>
      <c r="C97" s="15" t="s">
        <v>792</v>
      </c>
      <c r="D97" s="10" t="s">
        <v>801</v>
      </c>
      <c r="E97" s="11" t="s">
        <v>302</v>
      </c>
      <c r="F97" s="11" t="s">
        <v>192</v>
      </c>
      <c r="G97" s="15" t="s">
        <v>154</v>
      </c>
      <c r="H97" s="15" t="s">
        <v>802</v>
      </c>
      <c r="I97" s="15" t="s">
        <v>194</v>
      </c>
      <c r="J97" s="15" t="s">
        <v>154</v>
      </c>
      <c r="K97" s="11" t="s">
        <v>338</v>
      </c>
      <c r="L97" s="15" t="s">
        <v>803</v>
      </c>
      <c r="M97" s="11" t="n">
        <f aca="false">COUNTIF(Taches!$B$6:$B$250,$A97)</f>
        <v>1</v>
      </c>
      <c r="N97" s="11" t="n">
        <v>2</v>
      </c>
      <c r="O97" s="20" t="s">
        <v>104</v>
      </c>
      <c r="P97" s="21" t="s">
        <v>804</v>
      </c>
      <c r="Q97" s="21" t="s">
        <v>382</v>
      </c>
      <c r="R97" s="21" t="s">
        <v>673</v>
      </c>
    </row>
    <row r="98" customFormat="false" ht="23.85" hidden="false" customHeight="false" outlineLevel="0" collapsed="false">
      <c r="A98" s="22" t="s">
        <v>805</v>
      </c>
      <c r="B98" s="10" t="s">
        <v>46</v>
      </c>
      <c r="C98" s="15" t="s">
        <v>792</v>
      </c>
      <c r="D98" s="10" t="s">
        <v>806</v>
      </c>
      <c r="E98" s="11" t="s">
        <v>513</v>
      </c>
      <c r="F98" s="11" t="s">
        <v>192</v>
      </c>
      <c r="G98" s="15" t="s">
        <v>154</v>
      </c>
      <c r="H98" s="15" t="s">
        <v>807</v>
      </c>
      <c r="I98" s="15" t="s">
        <v>194</v>
      </c>
      <c r="J98" s="15" t="s">
        <v>154</v>
      </c>
      <c r="K98" s="11" t="s">
        <v>338</v>
      </c>
      <c r="L98" s="15" t="s">
        <v>808</v>
      </c>
      <c r="M98" s="11" t="n">
        <f aca="false">COUNTIF(Taches!$B$6:$B$250,$A98)</f>
        <v>1</v>
      </c>
      <c r="N98" s="11" t="n">
        <v>3</v>
      </c>
      <c r="O98" s="20" t="s">
        <v>104</v>
      </c>
      <c r="P98" s="21" t="s">
        <v>809</v>
      </c>
      <c r="Q98" s="21" t="s">
        <v>490</v>
      </c>
      <c r="R98" s="21" t="s">
        <v>154</v>
      </c>
    </row>
    <row r="99" customFormat="false" ht="23.85" hidden="false" customHeight="false" outlineLevel="0" collapsed="false">
      <c r="A99" s="22" t="s">
        <v>810</v>
      </c>
      <c r="B99" s="10" t="s">
        <v>46</v>
      </c>
      <c r="C99" s="15" t="s">
        <v>792</v>
      </c>
      <c r="D99" s="10" t="s">
        <v>811</v>
      </c>
      <c r="E99" s="11" t="s">
        <v>485</v>
      </c>
      <c r="F99" s="11" t="s">
        <v>192</v>
      </c>
      <c r="G99" s="15" t="s">
        <v>154</v>
      </c>
      <c r="H99" s="15" t="s">
        <v>812</v>
      </c>
      <c r="I99" s="15" t="s">
        <v>194</v>
      </c>
      <c r="J99" s="15" t="s">
        <v>154</v>
      </c>
      <c r="K99" s="11" t="s">
        <v>452</v>
      </c>
      <c r="L99" s="15" t="s">
        <v>813</v>
      </c>
      <c r="M99" s="11" t="n">
        <f aca="false">COUNTIF(Taches!$B$6:$B$250,$A99)</f>
        <v>1</v>
      </c>
      <c r="N99" s="11" t="n">
        <v>3</v>
      </c>
      <c r="O99" s="20" t="s">
        <v>104</v>
      </c>
      <c r="P99" s="21" t="s">
        <v>814</v>
      </c>
      <c r="Q99" s="21" t="s">
        <v>815</v>
      </c>
      <c r="R99" s="21" t="s">
        <v>154</v>
      </c>
    </row>
    <row r="100" customFormat="false" ht="23.85" hidden="false" customHeight="false" outlineLevel="0" collapsed="false">
      <c r="A100" s="22" t="s">
        <v>816</v>
      </c>
      <c r="B100" s="10" t="s">
        <v>46</v>
      </c>
      <c r="C100" s="15" t="s">
        <v>792</v>
      </c>
      <c r="D100" s="10" t="s">
        <v>817</v>
      </c>
      <c r="E100" s="11" t="s">
        <v>247</v>
      </c>
      <c r="F100" s="11" t="s">
        <v>192</v>
      </c>
      <c r="G100" s="15" t="s">
        <v>154</v>
      </c>
      <c r="H100" s="15" t="s">
        <v>818</v>
      </c>
      <c r="I100" s="15" t="s">
        <v>194</v>
      </c>
      <c r="J100" s="15" t="s">
        <v>154</v>
      </c>
      <c r="K100" s="11" t="s">
        <v>195</v>
      </c>
      <c r="L100" s="15" t="s">
        <v>819</v>
      </c>
      <c r="M100" s="11" t="n">
        <f aca="false">COUNTIF(Taches!$B$6:$B$250,$A100)</f>
        <v>2</v>
      </c>
      <c r="N100" s="11" t="n">
        <v>2</v>
      </c>
      <c r="O100" s="20" t="s">
        <v>104</v>
      </c>
      <c r="P100" s="21" t="s">
        <v>820</v>
      </c>
      <c r="Q100" s="21" t="s">
        <v>490</v>
      </c>
      <c r="R100" s="21" t="s">
        <v>154</v>
      </c>
    </row>
    <row r="101" customFormat="false" ht="23.85" hidden="false" customHeight="false" outlineLevel="0" collapsed="false">
      <c r="A101" s="22" t="s">
        <v>821</v>
      </c>
      <c r="B101" s="10" t="s">
        <v>46</v>
      </c>
      <c r="C101" s="15" t="s">
        <v>792</v>
      </c>
      <c r="D101" s="10" t="s">
        <v>822</v>
      </c>
      <c r="E101" s="11" t="s">
        <v>513</v>
      </c>
      <c r="F101" s="11" t="s">
        <v>192</v>
      </c>
      <c r="G101" s="15" t="s">
        <v>154</v>
      </c>
      <c r="H101" s="15" t="s">
        <v>823</v>
      </c>
      <c r="I101" s="15" t="s">
        <v>194</v>
      </c>
      <c r="J101" s="15" t="s">
        <v>154</v>
      </c>
      <c r="K101" s="11" t="s">
        <v>763</v>
      </c>
      <c r="L101" s="15" t="s">
        <v>824</v>
      </c>
      <c r="M101" s="11" t="n">
        <f aca="false">COUNTIF(Taches!$B$6:$B$250,$A101)</f>
        <v>1</v>
      </c>
      <c r="N101" s="11" t="n">
        <v>3</v>
      </c>
      <c r="O101" s="20" t="s">
        <v>104</v>
      </c>
      <c r="P101" s="21" t="s">
        <v>825</v>
      </c>
      <c r="Q101" s="21" t="s">
        <v>428</v>
      </c>
      <c r="R101" s="21" t="s">
        <v>826</v>
      </c>
    </row>
    <row r="102" customFormat="false" ht="15" hidden="false" customHeight="false" outlineLevel="0" collapsed="false">
      <c r="A102" s="22" t="s">
        <v>827</v>
      </c>
      <c r="B102" s="10" t="s">
        <v>46</v>
      </c>
      <c r="C102" s="15" t="s">
        <v>792</v>
      </c>
      <c r="D102" s="10" t="s">
        <v>828</v>
      </c>
      <c r="E102" s="11" t="s">
        <v>717</v>
      </c>
      <c r="F102" s="11" t="s">
        <v>192</v>
      </c>
      <c r="G102" s="15" t="s">
        <v>154</v>
      </c>
      <c r="H102" s="15" t="s">
        <v>829</v>
      </c>
      <c r="I102" s="15" t="s">
        <v>194</v>
      </c>
      <c r="J102" s="15" t="s">
        <v>154</v>
      </c>
      <c r="K102" s="11" t="s">
        <v>830</v>
      </c>
      <c r="L102" s="15" t="s">
        <v>831</v>
      </c>
      <c r="M102" s="11" t="n">
        <f aca="false">COUNTIF(Taches!$B$6:$B$250,$A102)</f>
        <v>1</v>
      </c>
      <c r="N102" s="11" t="n">
        <v>3</v>
      </c>
      <c r="O102" s="20" t="s">
        <v>76</v>
      </c>
      <c r="P102" s="21" t="s">
        <v>153</v>
      </c>
      <c r="Q102" s="21" t="s">
        <v>154</v>
      </c>
      <c r="R102" s="21" t="s">
        <v>154</v>
      </c>
    </row>
    <row r="103" customFormat="false" ht="23.85" hidden="false" customHeight="false" outlineLevel="0" collapsed="false">
      <c r="A103" s="22" t="s">
        <v>832</v>
      </c>
      <c r="B103" s="10" t="s">
        <v>47</v>
      </c>
      <c r="C103" s="15" t="s">
        <v>833</v>
      </c>
      <c r="D103" s="10" t="s">
        <v>834</v>
      </c>
      <c r="E103" s="11" t="s">
        <v>835</v>
      </c>
      <c r="F103" s="11" t="s">
        <v>192</v>
      </c>
      <c r="G103" s="15" t="s">
        <v>154</v>
      </c>
      <c r="H103" s="15" t="s">
        <v>836</v>
      </c>
      <c r="I103" s="15" t="s">
        <v>202</v>
      </c>
      <c r="J103" s="15" t="s">
        <v>583</v>
      </c>
      <c r="K103" s="11" t="s">
        <v>837</v>
      </c>
      <c r="L103" s="15" t="s">
        <v>838</v>
      </c>
      <c r="M103" s="11" t="n">
        <f aca="false">COUNTIF(Taches!$B$6:$B$250,$A103)</f>
        <v>2</v>
      </c>
      <c r="N103" s="11" t="n">
        <v>1</v>
      </c>
      <c r="O103" s="20" t="s">
        <v>75</v>
      </c>
      <c r="P103" s="21" t="s">
        <v>153</v>
      </c>
      <c r="Q103" s="21" t="s">
        <v>154</v>
      </c>
      <c r="R103" s="21" t="s">
        <v>839</v>
      </c>
    </row>
    <row r="104" customFormat="false" ht="23.85" hidden="false" customHeight="false" outlineLevel="0" collapsed="false">
      <c r="A104" s="22" t="s">
        <v>840</v>
      </c>
      <c r="B104" s="10" t="s">
        <v>47</v>
      </c>
      <c r="C104" s="15" t="s">
        <v>833</v>
      </c>
      <c r="D104" s="10" t="s">
        <v>841</v>
      </c>
      <c r="E104" s="11" t="s">
        <v>191</v>
      </c>
      <c r="F104" s="11" t="s">
        <v>192</v>
      </c>
      <c r="G104" s="15" t="s">
        <v>154</v>
      </c>
      <c r="H104" s="15" t="s">
        <v>842</v>
      </c>
      <c r="I104" s="15" t="s">
        <v>515</v>
      </c>
      <c r="J104" s="15" t="s">
        <v>154</v>
      </c>
      <c r="K104" s="11" t="s">
        <v>843</v>
      </c>
      <c r="L104" s="15" t="s">
        <v>844</v>
      </c>
      <c r="M104" s="11" t="n">
        <f aca="false">COUNTIF(Taches!$B$6:$B$250,$A104)</f>
        <v>1</v>
      </c>
      <c r="N104" s="11" t="n">
        <v>1</v>
      </c>
      <c r="O104" s="20" t="s">
        <v>76</v>
      </c>
      <c r="P104" s="21" t="s">
        <v>153</v>
      </c>
      <c r="Q104" s="21" t="s">
        <v>154</v>
      </c>
      <c r="R104" s="21" t="s">
        <v>154</v>
      </c>
    </row>
    <row r="105" customFormat="false" ht="23.85" hidden="false" customHeight="false" outlineLevel="0" collapsed="false">
      <c r="A105" s="22" t="s">
        <v>845</v>
      </c>
      <c r="B105" s="10" t="s">
        <v>47</v>
      </c>
      <c r="C105" s="15" t="s">
        <v>833</v>
      </c>
      <c r="D105" s="10" t="s">
        <v>846</v>
      </c>
      <c r="E105" s="11" t="s">
        <v>138</v>
      </c>
      <c r="F105" s="11" t="s">
        <v>225</v>
      </c>
      <c r="G105" s="15" t="s">
        <v>847</v>
      </c>
      <c r="H105" s="15" t="s">
        <v>848</v>
      </c>
      <c r="I105" s="15" t="s">
        <v>202</v>
      </c>
      <c r="J105" s="15" t="s">
        <v>849</v>
      </c>
      <c r="K105" s="11" t="s">
        <v>154</v>
      </c>
      <c r="L105" s="15" t="s">
        <v>850</v>
      </c>
      <c r="M105" s="11" t="n">
        <f aca="false">COUNTIF(Taches!$B$6:$B$250,$A105)</f>
        <v>1</v>
      </c>
      <c r="N105" s="11" t="n">
        <v>2</v>
      </c>
      <c r="O105" s="20" t="s">
        <v>75</v>
      </c>
      <c r="P105" s="21" t="s">
        <v>153</v>
      </c>
      <c r="Q105" s="21" t="s">
        <v>154</v>
      </c>
      <c r="R105" s="21" t="s">
        <v>851</v>
      </c>
    </row>
    <row r="106" customFormat="false" ht="15" hidden="false" customHeight="false" outlineLevel="0" collapsed="false">
      <c r="A106" s="22" t="s">
        <v>852</v>
      </c>
      <c r="B106" s="10" t="s">
        <v>47</v>
      </c>
      <c r="C106" s="15" t="s">
        <v>833</v>
      </c>
      <c r="D106" s="10" t="s">
        <v>853</v>
      </c>
      <c r="E106" s="11" t="s">
        <v>717</v>
      </c>
      <c r="F106" s="11" t="s">
        <v>192</v>
      </c>
      <c r="G106" s="15" t="s">
        <v>154</v>
      </c>
      <c r="H106" s="15" t="s">
        <v>854</v>
      </c>
      <c r="I106" s="15" t="s">
        <v>194</v>
      </c>
      <c r="J106" s="15" t="s">
        <v>154</v>
      </c>
      <c r="K106" s="11" t="s">
        <v>855</v>
      </c>
      <c r="L106" s="15" t="s">
        <v>856</v>
      </c>
      <c r="M106" s="11" t="n">
        <f aca="false">COUNTIF(Taches!$B$6:$B$250,$A106)</f>
        <v>1</v>
      </c>
      <c r="N106" s="11" t="n">
        <v>2</v>
      </c>
      <c r="O106" s="20" t="s">
        <v>76</v>
      </c>
      <c r="P106" s="21" t="s">
        <v>153</v>
      </c>
      <c r="Q106" s="21" t="s">
        <v>154</v>
      </c>
      <c r="R106" s="21" t="s">
        <v>154</v>
      </c>
    </row>
    <row r="107" customFormat="false" ht="23.85" hidden="false" customHeight="false" outlineLevel="0" collapsed="false">
      <c r="A107" s="22" t="s">
        <v>857</v>
      </c>
      <c r="B107" s="10" t="s">
        <v>47</v>
      </c>
      <c r="C107" s="15" t="s">
        <v>833</v>
      </c>
      <c r="D107" s="10" t="s">
        <v>858</v>
      </c>
      <c r="E107" s="11" t="s">
        <v>859</v>
      </c>
      <c r="F107" s="11" t="s">
        <v>192</v>
      </c>
      <c r="G107" s="15" t="s">
        <v>154</v>
      </c>
      <c r="H107" s="15" t="s">
        <v>860</v>
      </c>
      <c r="I107" s="15" t="s">
        <v>202</v>
      </c>
      <c r="J107" s="15" t="s">
        <v>861</v>
      </c>
      <c r="K107" s="11" t="s">
        <v>313</v>
      </c>
      <c r="L107" s="15" t="s">
        <v>862</v>
      </c>
      <c r="M107" s="11" t="n">
        <f aca="false">COUNTIF(Taches!$B$6:$B$250,$A107)</f>
        <v>1</v>
      </c>
      <c r="N107" s="11" t="n">
        <v>2</v>
      </c>
      <c r="O107" s="20" t="s">
        <v>75</v>
      </c>
      <c r="P107" s="21" t="s">
        <v>153</v>
      </c>
      <c r="Q107" s="21" t="s">
        <v>154</v>
      </c>
      <c r="R107" s="21" t="s">
        <v>863</v>
      </c>
    </row>
    <row r="108" customFormat="false" ht="23.85" hidden="false" customHeight="false" outlineLevel="0" collapsed="false">
      <c r="A108" s="22" t="s">
        <v>864</v>
      </c>
      <c r="B108" s="10" t="s">
        <v>47</v>
      </c>
      <c r="C108" s="15" t="s">
        <v>833</v>
      </c>
      <c r="D108" s="10" t="s">
        <v>865</v>
      </c>
      <c r="E108" s="11" t="s">
        <v>138</v>
      </c>
      <c r="F108" s="11" t="s">
        <v>192</v>
      </c>
      <c r="G108" s="15" t="s">
        <v>154</v>
      </c>
      <c r="H108" s="15" t="s">
        <v>866</v>
      </c>
      <c r="I108" s="15" t="s">
        <v>194</v>
      </c>
      <c r="J108" s="15" t="s">
        <v>154</v>
      </c>
      <c r="K108" s="11" t="s">
        <v>195</v>
      </c>
      <c r="L108" s="15" t="s">
        <v>867</v>
      </c>
      <c r="M108" s="11" t="n">
        <f aca="false">COUNTIF(Taches!$B$6:$B$250,$A108)</f>
        <v>1</v>
      </c>
      <c r="N108" s="11" t="n">
        <v>3</v>
      </c>
      <c r="O108" s="20" t="s">
        <v>76</v>
      </c>
      <c r="P108" s="21" t="s">
        <v>153</v>
      </c>
      <c r="Q108" s="21" t="s">
        <v>154</v>
      </c>
      <c r="R108" s="21" t="s">
        <v>154</v>
      </c>
    </row>
    <row r="109" customFormat="false" ht="23.85" hidden="false" customHeight="false" outlineLevel="0" collapsed="false">
      <c r="A109" s="22" t="s">
        <v>868</v>
      </c>
      <c r="B109" s="10" t="s">
        <v>47</v>
      </c>
      <c r="C109" s="15" t="s">
        <v>833</v>
      </c>
      <c r="D109" s="10" t="s">
        <v>869</v>
      </c>
      <c r="E109" s="11" t="s">
        <v>154</v>
      </c>
      <c r="F109" s="11" t="s">
        <v>192</v>
      </c>
      <c r="G109" s="15" t="s">
        <v>154</v>
      </c>
      <c r="H109" s="15" t="s">
        <v>870</v>
      </c>
      <c r="I109" s="15" t="s">
        <v>194</v>
      </c>
      <c r="J109" s="15" t="s">
        <v>154</v>
      </c>
      <c r="K109" s="11" t="s">
        <v>195</v>
      </c>
      <c r="L109" s="15" t="s">
        <v>871</v>
      </c>
      <c r="M109" s="11" t="n">
        <f aca="false">COUNTIF(Taches!$B$6:$B$250,$A109)</f>
        <v>1</v>
      </c>
      <c r="N109" s="11" t="n">
        <v>3</v>
      </c>
      <c r="O109" s="20" t="s">
        <v>76</v>
      </c>
      <c r="P109" s="21" t="s">
        <v>153</v>
      </c>
      <c r="Q109" s="21" t="s">
        <v>154</v>
      </c>
      <c r="R109" s="21" t="s">
        <v>154</v>
      </c>
    </row>
    <row r="110" customFormat="false" ht="35.05" hidden="false" customHeight="false" outlineLevel="0" collapsed="false">
      <c r="A110" s="17" t="s">
        <v>872</v>
      </c>
      <c r="B110" s="18" t="s">
        <v>49</v>
      </c>
      <c r="C110" s="19" t="s">
        <v>49</v>
      </c>
      <c r="D110" s="18" t="s">
        <v>873</v>
      </c>
      <c r="E110" s="16" t="s">
        <v>178</v>
      </c>
      <c r="F110" s="17" t="s">
        <v>97</v>
      </c>
      <c r="G110" s="19" t="s">
        <v>874</v>
      </c>
      <c r="H110" s="19" t="s">
        <v>875</v>
      </c>
      <c r="I110" s="19" t="s">
        <v>876</v>
      </c>
      <c r="J110" s="19" t="s">
        <v>877</v>
      </c>
      <c r="K110" s="16" t="s">
        <v>878</v>
      </c>
      <c r="L110" s="19" t="s">
        <v>879</v>
      </c>
      <c r="M110" s="16" t="n">
        <f aca="false">COUNTIF(Taches!$B$6:$B$250,$A110)</f>
        <v>1</v>
      </c>
      <c r="N110" s="16" t="n">
        <v>1</v>
      </c>
      <c r="O110" s="20" t="s">
        <v>75</v>
      </c>
      <c r="P110" s="21" t="s">
        <v>880</v>
      </c>
      <c r="Q110" s="21" t="s">
        <v>881</v>
      </c>
      <c r="R110" s="21" t="s">
        <v>882</v>
      </c>
    </row>
    <row r="111" customFormat="false" ht="35.05" hidden="false" customHeight="false" outlineLevel="0" collapsed="false">
      <c r="A111" s="17" t="s">
        <v>883</v>
      </c>
      <c r="B111" s="18" t="s">
        <v>49</v>
      </c>
      <c r="C111" s="19" t="s">
        <v>49</v>
      </c>
      <c r="D111" s="18" t="s">
        <v>884</v>
      </c>
      <c r="E111" s="16" t="s">
        <v>247</v>
      </c>
      <c r="F111" s="17" t="s">
        <v>97</v>
      </c>
      <c r="G111" s="19" t="s">
        <v>885</v>
      </c>
      <c r="H111" s="19" t="s">
        <v>886</v>
      </c>
      <c r="I111" s="19" t="s">
        <v>887</v>
      </c>
      <c r="J111" s="19" t="s">
        <v>877</v>
      </c>
      <c r="K111" s="16" t="s">
        <v>888</v>
      </c>
      <c r="L111" s="19" t="s">
        <v>889</v>
      </c>
      <c r="M111" s="16" t="n">
        <f aca="false">COUNTIF(Taches!$B$6:$B$250,$A111)</f>
        <v>1</v>
      </c>
      <c r="N111" s="16" t="n">
        <v>2</v>
      </c>
      <c r="O111" s="20" t="s">
        <v>75</v>
      </c>
      <c r="P111" s="21" t="s">
        <v>880</v>
      </c>
      <c r="Q111" s="21" t="s">
        <v>881</v>
      </c>
      <c r="R111" s="21" t="s">
        <v>890</v>
      </c>
    </row>
    <row r="112" customFormat="false" ht="35.05" hidden="false" customHeight="false" outlineLevel="0" collapsed="false">
      <c r="A112" s="22" t="s">
        <v>891</v>
      </c>
      <c r="B112" s="10" t="s">
        <v>49</v>
      </c>
      <c r="C112" s="15" t="s">
        <v>49</v>
      </c>
      <c r="D112" s="10" t="s">
        <v>892</v>
      </c>
      <c r="E112" s="11" t="s">
        <v>893</v>
      </c>
      <c r="F112" s="11" t="s">
        <v>192</v>
      </c>
      <c r="G112" s="15" t="s">
        <v>154</v>
      </c>
      <c r="H112" s="15" t="s">
        <v>894</v>
      </c>
      <c r="I112" s="15" t="s">
        <v>895</v>
      </c>
      <c r="J112" s="15" t="s">
        <v>896</v>
      </c>
      <c r="K112" s="11" t="s">
        <v>897</v>
      </c>
      <c r="L112" s="15" t="s">
        <v>898</v>
      </c>
      <c r="M112" s="11" t="n">
        <f aca="false">COUNTIF(Taches!$B$6:$B$250,$A112)</f>
        <v>1</v>
      </c>
      <c r="N112" s="11" t="n">
        <v>3</v>
      </c>
      <c r="O112" s="20" t="s">
        <v>104</v>
      </c>
      <c r="P112" s="21" t="s">
        <v>899</v>
      </c>
      <c r="Q112" s="21" t="s">
        <v>900</v>
      </c>
      <c r="R112" s="21" t="s">
        <v>901</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 collapsed="false" customWidth="true" hidden="false" outlineLevel="0" max="16" min="16" style="0" width="14"/>
    <col collapsed="false" customWidth="true" hidden="false" outlineLevel="0" max="17" min="17" style="0" width="11"/>
  </cols>
  <sheetData>
    <row r="2" customFormat="false" ht="19.7" hidden="false" customHeight="false" outlineLevel="0" collapsed="false">
      <c r="A2" s="1" t="s">
        <v>902</v>
      </c>
    </row>
    <row r="3" customFormat="false" ht="15" hidden="false" customHeight="false" outlineLevel="0" collapsed="false">
      <c r="A3" s="2" t="s">
        <v>903</v>
      </c>
    </row>
    <row r="5" customFormat="false" ht="31.5" hidden="false" customHeight="true" outlineLevel="0" collapsed="false">
      <c r="A5" s="9" t="s">
        <v>904</v>
      </c>
      <c r="B5" s="9" t="s">
        <v>905</v>
      </c>
      <c r="C5" s="9" t="s">
        <v>81</v>
      </c>
      <c r="D5" s="9" t="s">
        <v>35</v>
      </c>
      <c r="E5" s="9" t="s">
        <v>906</v>
      </c>
      <c r="F5" s="9" t="s">
        <v>907</v>
      </c>
      <c r="G5" s="9" t="s">
        <v>908</v>
      </c>
      <c r="H5" s="9" t="s">
        <v>909</v>
      </c>
      <c r="I5" s="9" t="s">
        <v>910</v>
      </c>
      <c r="J5" s="9" t="s">
        <v>911</v>
      </c>
      <c r="K5" s="9" t="s">
        <v>912</v>
      </c>
      <c r="L5" s="9" t="s">
        <v>913</v>
      </c>
      <c r="M5" s="9" t="s">
        <v>914</v>
      </c>
      <c r="N5" s="9" t="s">
        <v>21</v>
      </c>
      <c r="O5" s="9" t="s">
        <v>53</v>
      </c>
      <c r="P5" s="9" t="s">
        <v>915</v>
      </c>
      <c r="Q5" s="9" t="s">
        <v>916</v>
      </c>
    </row>
    <row r="6" customFormat="false" ht="35.05" hidden="false" customHeight="false" outlineLevel="0" collapsed="false">
      <c r="A6" s="17" t="s">
        <v>917</v>
      </c>
      <c r="B6" s="16" t="s">
        <v>93</v>
      </c>
      <c r="C6" s="19" t="s">
        <v>95</v>
      </c>
      <c r="D6" s="19" t="str">
        <f aca="false">IFERROR(INDEX(Equipements!$B$6:$B$200,MATCH($B6,Equipements!$A$6:$A$200,0)),"?")</f>
        <v>Chauffage &amp; climatisation</v>
      </c>
      <c r="E6" s="18" t="s">
        <v>918</v>
      </c>
      <c r="F6" s="16" t="s">
        <v>202</v>
      </c>
      <c r="G6" s="16" t="n">
        <v>12</v>
      </c>
      <c r="H6" s="19" t="s">
        <v>919</v>
      </c>
      <c r="I6" s="19" t="s">
        <v>920</v>
      </c>
      <c r="J6" s="16" t="n">
        <v>90</v>
      </c>
      <c r="K6" s="19" t="s">
        <v>921</v>
      </c>
      <c r="L6" s="19" t="s">
        <v>922</v>
      </c>
      <c r="M6" s="19" t="s">
        <v>923</v>
      </c>
      <c r="N6" s="17" t="s">
        <v>97</v>
      </c>
      <c r="O6" s="16" t="s">
        <v>56</v>
      </c>
      <c r="P6" s="17" t="s">
        <v>924</v>
      </c>
      <c r="Q6" s="16" t="n">
        <v>0</v>
      </c>
    </row>
    <row r="7" customFormat="false" ht="35.05" hidden="false" customHeight="false" outlineLevel="0" collapsed="false">
      <c r="A7" s="23" t="s">
        <v>925</v>
      </c>
      <c r="B7" s="24" t="s">
        <v>93</v>
      </c>
      <c r="C7" s="25" t="s">
        <v>95</v>
      </c>
      <c r="D7" s="25" t="str">
        <f aca="false">IFERROR(INDEX(Equipements!$B$6:$B$200,MATCH($B7,Equipements!$A$6:$A$200,0)),"?")</f>
        <v>Chauffage &amp; climatisation</v>
      </c>
      <c r="E7" s="26" t="s">
        <v>926</v>
      </c>
      <c r="F7" s="24" t="s">
        <v>927</v>
      </c>
      <c r="G7" s="24" t="n">
        <v>1</v>
      </c>
      <c r="H7" s="25" t="s">
        <v>928</v>
      </c>
      <c r="I7" s="25" t="s">
        <v>929</v>
      </c>
      <c r="J7" s="24" t="n">
        <v>3</v>
      </c>
      <c r="K7" s="25" t="s">
        <v>930</v>
      </c>
      <c r="L7" s="25" t="s">
        <v>931</v>
      </c>
      <c r="M7" s="25" t="s">
        <v>932</v>
      </c>
      <c r="N7" s="24" t="s">
        <v>192</v>
      </c>
      <c r="O7" s="24" t="s">
        <v>56</v>
      </c>
      <c r="P7" s="23" t="s">
        <v>933</v>
      </c>
      <c r="Q7" s="24" t="n">
        <v>3</v>
      </c>
    </row>
    <row r="8" customFormat="false" ht="23.85" hidden="false" customHeight="false" outlineLevel="0" collapsed="false">
      <c r="A8" s="13" t="s">
        <v>934</v>
      </c>
      <c r="B8" s="27" t="s">
        <v>93</v>
      </c>
      <c r="C8" s="28" t="s">
        <v>95</v>
      </c>
      <c r="D8" s="28" t="str">
        <f aca="false">IFERROR(INDEX(Equipements!$B$6:$B$200,MATCH($B8,Equipements!$A$6:$A$200,0)),"?")</f>
        <v>Chauffage &amp; climatisation</v>
      </c>
      <c r="E8" s="12" t="s">
        <v>935</v>
      </c>
      <c r="F8" s="27" t="s">
        <v>202</v>
      </c>
      <c r="G8" s="27" t="n">
        <v>24</v>
      </c>
      <c r="H8" s="28" t="s">
        <v>170</v>
      </c>
      <c r="I8" s="28" t="s">
        <v>936</v>
      </c>
      <c r="J8" s="27" t="n">
        <v>20</v>
      </c>
      <c r="K8" s="28" t="s">
        <v>937</v>
      </c>
      <c r="L8" s="28" t="s">
        <v>938</v>
      </c>
      <c r="M8" s="28" t="s">
        <v>939</v>
      </c>
      <c r="N8" s="27" t="s">
        <v>192</v>
      </c>
      <c r="O8" s="27" t="s">
        <v>58</v>
      </c>
      <c r="P8" s="13" t="s">
        <v>940</v>
      </c>
      <c r="Q8" s="27" t="n">
        <v>0</v>
      </c>
    </row>
    <row r="9" customFormat="false" ht="35.05" hidden="false" customHeight="false" outlineLevel="0" collapsed="false">
      <c r="A9" s="17" t="s">
        <v>941</v>
      </c>
      <c r="B9" s="16" t="s">
        <v>108</v>
      </c>
      <c r="C9" s="19" t="s">
        <v>109</v>
      </c>
      <c r="D9" s="19" t="str">
        <f aca="false">IFERROR(INDEX(Equipements!$B$6:$B$200,MATCH($B9,Equipements!$A$6:$A$200,0)),"?")</f>
        <v>Chauffage &amp; climatisation</v>
      </c>
      <c r="E9" s="18" t="s">
        <v>942</v>
      </c>
      <c r="F9" s="16" t="s">
        <v>202</v>
      </c>
      <c r="G9" s="16" t="n">
        <v>12</v>
      </c>
      <c r="H9" s="19" t="s">
        <v>919</v>
      </c>
      <c r="I9" s="19" t="s">
        <v>943</v>
      </c>
      <c r="J9" s="16" t="n">
        <v>120</v>
      </c>
      <c r="K9" s="19" t="s">
        <v>944</v>
      </c>
      <c r="L9" s="19" t="s">
        <v>945</v>
      </c>
      <c r="M9" s="19" t="s">
        <v>946</v>
      </c>
      <c r="N9" s="17" t="s">
        <v>97</v>
      </c>
      <c r="O9" s="16" t="s">
        <v>56</v>
      </c>
      <c r="P9" s="17" t="s">
        <v>924</v>
      </c>
      <c r="Q9" s="16" t="n">
        <v>0</v>
      </c>
    </row>
    <row r="10" customFormat="false" ht="23.85" hidden="false" customHeight="false" outlineLevel="0" collapsed="false">
      <c r="A10" s="23" t="s">
        <v>947</v>
      </c>
      <c r="B10" s="24" t="s">
        <v>108</v>
      </c>
      <c r="C10" s="25" t="s">
        <v>109</v>
      </c>
      <c r="D10" s="25" t="str">
        <f aca="false">IFERROR(INDEX(Equipements!$B$6:$B$200,MATCH($B10,Equipements!$A$6:$A$200,0)),"?")</f>
        <v>Chauffage &amp; climatisation</v>
      </c>
      <c r="E10" s="26" t="s">
        <v>948</v>
      </c>
      <c r="F10" s="24" t="s">
        <v>927</v>
      </c>
      <c r="G10" s="24" t="n">
        <v>1</v>
      </c>
      <c r="H10" s="25" t="s">
        <v>928</v>
      </c>
      <c r="I10" s="25" t="s">
        <v>949</v>
      </c>
      <c r="J10" s="24" t="n">
        <v>5</v>
      </c>
      <c r="K10" s="25" t="s">
        <v>950</v>
      </c>
      <c r="L10" s="25" t="s">
        <v>951</v>
      </c>
      <c r="M10" s="25" t="s">
        <v>952</v>
      </c>
      <c r="N10" s="24" t="s">
        <v>192</v>
      </c>
      <c r="O10" s="24" t="s">
        <v>56</v>
      </c>
      <c r="P10" s="23" t="s">
        <v>933</v>
      </c>
      <c r="Q10" s="24" t="n">
        <v>5</v>
      </c>
    </row>
    <row r="11" customFormat="false" ht="23.85" hidden="false" customHeight="false" outlineLevel="0" collapsed="false">
      <c r="A11" s="17" t="s">
        <v>953</v>
      </c>
      <c r="B11" s="16" t="s">
        <v>119</v>
      </c>
      <c r="C11" s="19" t="s">
        <v>120</v>
      </c>
      <c r="D11" s="19" t="str">
        <f aca="false">IFERROR(INDEX(Equipements!$B$6:$B$200,MATCH($B11,Equipements!$A$6:$A$200,0)),"?")</f>
        <v>Chauffage &amp; climatisation</v>
      </c>
      <c r="E11" s="18" t="s">
        <v>954</v>
      </c>
      <c r="F11" s="16" t="s">
        <v>202</v>
      </c>
      <c r="G11" s="16" t="n">
        <v>12</v>
      </c>
      <c r="H11" s="19" t="s">
        <v>919</v>
      </c>
      <c r="I11" s="19" t="s">
        <v>955</v>
      </c>
      <c r="J11" s="16" t="n">
        <v>120</v>
      </c>
      <c r="K11" s="19" t="s">
        <v>944</v>
      </c>
      <c r="L11" s="19" t="s">
        <v>956</v>
      </c>
      <c r="M11" s="19" t="s">
        <v>957</v>
      </c>
      <c r="N11" s="17" t="s">
        <v>97</v>
      </c>
      <c r="O11" s="16" t="s">
        <v>56</v>
      </c>
      <c r="P11" s="17" t="s">
        <v>924</v>
      </c>
      <c r="Q11" s="16" t="n">
        <v>0</v>
      </c>
    </row>
    <row r="12" customFormat="false" ht="23.85" hidden="false" customHeight="false" outlineLevel="0" collapsed="false">
      <c r="A12" s="23" t="s">
        <v>958</v>
      </c>
      <c r="B12" s="24" t="s">
        <v>119</v>
      </c>
      <c r="C12" s="25" t="s">
        <v>120</v>
      </c>
      <c r="D12" s="25" t="str">
        <f aca="false">IFERROR(INDEX(Equipements!$B$6:$B$200,MATCH($B12,Equipements!$A$6:$A$200,0)),"?")</f>
        <v>Chauffage &amp; climatisation</v>
      </c>
      <c r="E12" s="26" t="s">
        <v>959</v>
      </c>
      <c r="F12" s="24" t="s">
        <v>927</v>
      </c>
      <c r="G12" s="24" t="n">
        <v>1</v>
      </c>
      <c r="H12" s="25" t="s">
        <v>960</v>
      </c>
      <c r="I12" s="25" t="s">
        <v>961</v>
      </c>
      <c r="J12" s="24" t="n">
        <v>10</v>
      </c>
      <c r="K12" s="25" t="s">
        <v>962</v>
      </c>
      <c r="L12" s="25" t="s">
        <v>963</v>
      </c>
      <c r="M12" s="25" t="s">
        <v>964</v>
      </c>
      <c r="N12" s="24" t="s">
        <v>192</v>
      </c>
      <c r="O12" s="24" t="s">
        <v>56</v>
      </c>
      <c r="P12" s="23" t="s">
        <v>933</v>
      </c>
      <c r="Q12" s="24" t="n">
        <v>10</v>
      </c>
    </row>
    <row r="13" customFormat="false" ht="23.85" hidden="false" customHeight="false" outlineLevel="0" collapsed="false">
      <c r="A13" s="23" t="s">
        <v>965</v>
      </c>
      <c r="B13" s="24" t="s">
        <v>128</v>
      </c>
      <c r="C13" s="25" t="s">
        <v>129</v>
      </c>
      <c r="D13" s="25" t="str">
        <f aca="false">IFERROR(INDEX(Equipements!$B$6:$B$200,MATCH($B13,Equipements!$A$6:$A$200,0)),"?")</f>
        <v>Chauffage &amp; climatisation</v>
      </c>
      <c r="E13" s="26" t="s">
        <v>966</v>
      </c>
      <c r="F13" s="24" t="s">
        <v>927</v>
      </c>
      <c r="G13" s="24" t="n">
        <v>0.25</v>
      </c>
      <c r="H13" s="25" t="s">
        <v>967</v>
      </c>
      <c r="I13" s="25" t="s">
        <v>961</v>
      </c>
      <c r="J13" s="24" t="n">
        <v>15</v>
      </c>
      <c r="K13" s="25" t="s">
        <v>968</v>
      </c>
      <c r="L13" s="25" t="s">
        <v>969</v>
      </c>
      <c r="M13" s="25" t="s">
        <v>970</v>
      </c>
      <c r="N13" s="24" t="s">
        <v>192</v>
      </c>
      <c r="O13" s="24" t="s">
        <v>56</v>
      </c>
      <c r="P13" s="23" t="s">
        <v>933</v>
      </c>
      <c r="Q13" s="24" t="n">
        <v>15</v>
      </c>
    </row>
    <row r="14" customFormat="false" ht="35.05" hidden="false" customHeight="false" outlineLevel="0" collapsed="false">
      <c r="A14" s="23" t="s">
        <v>971</v>
      </c>
      <c r="B14" s="24" t="s">
        <v>128</v>
      </c>
      <c r="C14" s="25" t="s">
        <v>129</v>
      </c>
      <c r="D14" s="25" t="str">
        <f aca="false">IFERROR(INDEX(Equipements!$B$6:$B$200,MATCH($B14,Equipements!$A$6:$A$200,0)),"?")</f>
        <v>Chauffage &amp; climatisation</v>
      </c>
      <c r="E14" s="26" t="s">
        <v>972</v>
      </c>
      <c r="F14" s="24" t="s">
        <v>927</v>
      </c>
      <c r="G14" s="24" t="n">
        <v>1</v>
      </c>
      <c r="H14" s="25" t="s">
        <v>973</v>
      </c>
      <c r="I14" s="25" t="s">
        <v>961</v>
      </c>
      <c r="J14" s="24" t="n">
        <v>25</v>
      </c>
      <c r="K14" s="25" t="s">
        <v>974</v>
      </c>
      <c r="L14" s="25" t="s">
        <v>975</v>
      </c>
      <c r="M14" s="25" t="s">
        <v>976</v>
      </c>
      <c r="N14" s="24" t="s">
        <v>192</v>
      </c>
      <c r="O14" s="24" t="s">
        <v>56</v>
      </c>
      <c r="P14" s="23" t="s">
        <v>940</v>
      </c>
      <c r="Q14" s="24" t="n">
        <v>25</v>
      </c>
    </row>
    <row r="15" customFormat="false" ht="23.85" hidden="false" customHeight="false" outlineLevel="0" collapsed="false">
      <c r="A15" s="17" t="s">
        <v>977</v>
      </c>
      <c r="B15" s="16" t="s">
        <v>128</v>
      </c>
      <c r="C15" s="19" t="s">
        <v>129</v>
      </c>
      <c r="D15" s="19" t="str">
        <f aca="false">IFERROR(INDEX(Equipements!$B$6:$B$200,MATCH($B15,Equipements!$A$6:$A$200,0)),"?")</f>
        <v>Chauffage &amp; climatisation</v>
      </c>
      <c r="E15" s="18" t="s">
        <v>978</v>
      </c>
      <c r="F15" s="16" t="s">
        <v>202</v>
      </c>
      <c r="G15" s="16" t="n">
        <v>12</v>
      </c>
      <c r="H15" s="19" t="s">
        <v>919</v>
      </c>
      <c r="I15" s="19" t="s">
        <v>955</v>
      </c>
      <c r="J15" s="16" t="n">
        <v>90</v>
      </c>
      <c r="K15" s="19" t="s">
        <v>944</v>
      </c>
      <c r="L15" s="19" t="s">
        <v>979</v>
      </c>
      <c r="M15" s="19" t="s">
        <v>980</v>
      </c>
      <c r="N15" s="17" t="s">
        <v>97</v>
      </c>
      <c r="O15" s="16" t="s">
        <v>56</v>
      </c>
      <c r="P15" s="17" t="s">
        <v>924</v>
      </c>
      <c r="Q15" s="16" t="n">
        <v>0</v>
      </c>
    </row>
    <row r="16" customFormat="false" ht="23.85" hidden="false" customHeight="false" outlineLevel="0" collapsed="false">
      <c r="A16" s="13" t="s">
        <v>981</v>
      </c>
      <c r="B16" s="27" t="s">
        <v>128</v>
      </c>
      <c r="C16" s="28" t="s">
        <v>129</v>
      </c>
      <c r="D16" s="28" t="str">
        <f aca="false">IFERROR(INDEX(Equipements!$B$6:$B$200,MATCH($B16,Equipements!$A$6:$A$200,0)),"?")</f>
        <v>Chauffage &amp; climatisation</v>
      </c>
      <c r="E16" s="12" t="s">
        <v>982</v>
      </c>
      <c r="F16" s="27" t="s">
        <v>202</v>
      </c>
      <c r="G16" s="27" t="n">
        <v>36</v>
      </c>
      <c r="H16" s="28" t="s">
        <v>983</v>
      </c>
      <c r="I16" s="28" t="s">
        <v>984</v>
      </c>
      <c r="J16" s="27" t="n">
        <v>30</v>
      </c>
      <c r="K16" s="28" t="s">
        <v>985</v>
      </c>
      <c r="L16" s="28" t="s">
        <v>986</v>
      </c>
      <c r="M16" s="28" t="s">
        <v>987</v>
      </c>
      <c r="N16" s="27" t="s">
        <v>192</v>
      </c>
      <c r="O16" s="27" t="s">
        <v>58</v>
      </c>
      <c r="P16" s="13" t="s">
        <v>940</v>
      </c>
      <c r="Q16" s="27" t="n">
        <v>0</v>
      </c>
    </row>
    <row r="17" customFormat="false" ht="23.85" hidden="false" customHeight="false" outlineLevel="0" collapsed="false">
      <c r="A17" s="23" t="s">
        <v>988</v>
      </c>
      <c r="B17" s="24" t="s">
        <v>136</v>
      </c>
      <c r="C17" s="25" t="s">
        <v>137</v>
      </c>
      <c r="D17" s="25" t="str">
        <f aca="false">IFERROR(INDEX(Equipements!$B$6:$B$200,MATCH($B17,Equipements!$A$6:$A$200,0)),"?")</f>
        <v>Chauffage &amp; climatisation</v>
      </c>
      <c r="E17" s="26" t="s">
        <v>989</v>
      </c>
      <c r="F17" s="24" t="s">
        <v>927</v>
      </c>
      <c r="G17" s="24" t="n">
        <v>0.25</v>
      </c>
      <c r="H17" s="25" t="s">
        <v>967</v>
      </c>
      <c r="I17" s="25" t="s">
        <v>961</v>
      </c>
      <c r="J17" s="24" t="n">
        <v>15</v>
      </c>
      <c r="K17" s="25" t="s">
        <v>990</v>
      </c>
      <c r="L17" s="25" t="s">
        <v>991</v>
      </c>
      <c r="M17" s="25" t="s">
        <v>992</v>
      </c>
      <c r="N17" s="24" t="s">
        <v>192</v>
      </c>
      <c r="O17" s="24" t="s">
        <v>56</v>
      </c>
      <c r="P17" s="23" t="s">
        <v>940</v>
      </c>
      <c r="Q17" s="24" t="n">
        <v>15</v>
      </c>
    </row>
    <row r="18" customFormat="false" ht="23.85" hidden="false" customHeight="false" outlineLevel="0" collapsed="false">
      <c r="A18" s="17" t="s">
        <v>993</v>
      </c>
      <c r="B18" s="16" t="s">
        <v>136</v>
      </c>
      <c r="C18" s="19" t="s">
        <v>137</v>
      </c>
      <c r="D18" s="19" t="str">
        <f aca="false">IFERROR(INDEX(Equipements!$B$6:$B$200,MATCH($B18,Equipements!$A$6:$A$200,0)),"?")</f>
        <v>Chauffage &amp; climatisation</v>
      </c>
      <c r="E18" s="18" t="s">
        <v>994</v>
      </c>
      <c r="F18" s="16" t="s">
        <v>202</v>
      </c>
      <c r="G18" s="16" t="n">
        <v>12</v>
      </c>
      <c r="H18" s="19" t="s">
        <v>919</v>
      </c>
      <c r="I18" s="19" t="s">
        <v>955</v>
      </c>
      <c r="J18" s="16" t="n">
        <v>60</v>
      </c>
      <c r="K18" s="19" t="s">
        <v>944</v>
      </c>
      <c r="L18" s="19" t="s">
        <v>995</v>
      </c>
      <c r="M18" s="19" t="s">
        <v>996</v>
      </c>
      <c r="N18" s="17" t="s">
        <v>97</v>
      </c>
      <c r="O18" s="16" t="s">
        <v>56</v>
      </c>
      <c r="P18" s="17" t="s">
        <v>924</v>
      </c>
      <c r="Q18" s="16" t="n">
        <v>0</v>
      </c>
    </row>
    <row r="19" customFormat="false" ht="35.05" hidden="false" customHeight="false" outlineLevel="0" collapsed="false">
      <c r="A19" s="17" t="s">
        <v>997</v>
      </c>
      <c r="B19" s="16" t="s">
        <v>156</v>
      </c>
      <c r="C19" s="19" t="s">
        <v>157</v>
      </c>
      <c r="D19" s="19" t="str">
        <f aca="false">IFERROR(INDEX(Equipements!$B$6:$B$200,MATCH($B19,Equipements!$A$6:$A$200,0)),"?")</f>
        <v>Chauffage &amp; climatisation</v>
      </c>
      <c r="E19" s="18" t="s">
        <v>998</v>
      </c>
      <c r="F19" s="16" t="s">
        <v>202</v>
      </c>
      <c r="G19" s="16" t="n">
        <v>12</v>
      </c>
      <c r="H19" s="19" t="s">
        <v>999</v>
      </c>
      <c r="I19" s="19" t="s">
        <v>1000</v>
      </c>
      <c r="J19" s="16" t="n">
        <v>45</v>
      </c>
      <c r="K19" s="19" t="s">
        <v>1001</v>
      </c>
      <c r="L19" s="19" t="s">
        <v>1002</v>
      </c>
      <c r="M19" s="19" t="s">
        <v>1003</v>
      </c>
      <c r="N19" s="17" t="s">
        <v>97</v>
      </c>
      <c r="O19" s="16" t="s">
        <v>56</v>
      </c>
      <c r="P19" s="17" t="s">
        <v>924</v>
      </c>
      <c r="Q19" s="16" t="n">
        <v>0</v>
      </c>
    </row>
    <row r="20" customFormat="false" ht="35.05" hidden="false" customHeight="false" outlineLevel="0" collapsed="false">
      <c r="A20" s="17" t="s">
        <v>1004</v>
      </c>
      <c r="B20" s="16" t="s">
        <v>156</v>
      </c>
      <c r="C20" s="19" t="s">
        <v>157</v>
      </c>
      <c r="D20" s="19" t="str">
        <f aca="false">IFERROR(INDEX(Equipements!$B$6:$B$200,MATCH($B20,Equipements!$A$6:$A$200,0)),"?")</f>
        <v>Chauffage &amp; climatisation</v>
      </c>
      <c r="E20" s="18" t="s">
        <v>1005</v>
      </c>
      <c r="F20" s="16" t="s">
        <v>202</v>
      </c>
      <c r="G20" s="16" t="n">
        <v>6</v>
      </c>
      <c r="H20" s="19" t="s">
        <v>1006</v>
      </c>
      <c r="I20" s="19" t="s">
        <v>1007</v>
      </c>
      <c r="J20" s="16" t="n">
        <v>45</v>
      </c>
      <c r="K20" s="19" t="s">
        <v>1001</v>
      </c>
      <c r="L20" s="19" t="s">
        <v>1008</v>
      </c>
      <c r="M20" s="19" t="s">
        <v>1009</v>
      </c>
      <c r="N20" s="17" t="s">
        <v>97</v>
      </c>
      <c r="O20" s="16" t="s">
        <v>56</v>
      </c>
      <c r="P20" s="17" t="s">
        <v>924</v>
      </c>
      <c r="Q20" s="16" t="n">
        <v>0</v>
      </c>
    </row>
    <row r="21" customFormat="false" ht="23.85" hidden="false" customHeight="false" outlineLevel="0" collapsed="false">
      <c r="A21" s="17" t="s">
        <v>1010</v>
      </c>
      <c r="B21" s="16" t="s">
        <v>145</v>
      </c>
      <c r="C21" s="19" t="s">
        <v>146</v>
      </c>
      <c r="D21" s="19" t="str">
        <f aca="false">IFERROR(INDEX(Equipements!$B$6:$B$200,MATCH($B21,Equipements!$A$6:$A$200,0)),"?")</f>
        <v>Chauffage &amp; climatisation</v>
      </c>
      <c r="E21" s="18" t="s">
        <v>1011</v>
      </c>
      <c r="F21" s="16" t="s">
        <v>202</v>
      </c>
      <c r="G21" s="16" t="n">
        <v>12</v>
      </c>
      <c r="H21" s="19" t="s">
        <v>999</v>
      </c>
      <c r="I21" s="19" t="s">
        <v>1012</v>
      </c>
      <c r="J21" s="16" t="n">
        <v>45</v>
      </c>
      <c r="K21" s="19" t="s">
        <v>1001</v>
      </c>
      <c r="L21" s="19" t="s">
        <v>1013</v>
      </c>
      <c r="M21" s="19" t="s">
        <v>152</v>
      </c>
      <c r="N21" s="17" t="s">
        <v>97</v>
      </c>
      <c r="O21" s="16" t="s">
        <v>56</v>
      </c>
      <c r="P21" s="17" t="s">
        <v>924</v>
      </c>
      <c r="Q21" s="16" t="n">
        <v>0</v>
      </c>
    </row>
    <row r="22" customFormat="false" ht="35.05" hidden="false" customHeight="false" outlineLevel="0" collapsed="false">
      <c r="A22" s="17" t="s">
        <v>1014</v>
      </c>
      <c r="B22" s="16" t="s">
        <v>167</v>
      </c>
      <c r="C22" s="19" t="s">
        <v>168</v>
      </c>
      <c r="D22" s="19" t="str">
        <f aca="false">IFERROR(INDEX(Equipements!$B$6:$B$200,MATCH($B22,Equipements!$A$6:$A$200,0)),"?")</f>
        <v>Chauffage &amp; climatisation</v>
      </c>
      <c r="E22" s="18" t="s">
        <v>1015</v>
      </c>
      <c r="F22" s="16" t="s">
        <v>202</v>
      </c>
      <c r="G22" s="16" t="n">
        <v>24</v>
      </c>
      <c r="H22" s="19" t="s">
        <v>170</v>
      </c>
      <c r="I22" s="19" t="s">
        <v>1016</v>
      </c>
      <c r="J22" s="16" t="n">
        <v>90</v>
      </c>
      <c r="K22" s="19" t="s">
        <v>944</v>
      </c>
      <c r="L22" s="19" t="s">
        <v>1017</v>
      </c>
      <c r="M22" s="19" t="s">
        <v>1018</v>
      </c>
      <c r="N22" s="17" t="s">
        <v>97</v>
      </c>
      <c r="O22" s="16" t="s">
        <v>56</v>
      </c>
      <c r="P22" s="17" t="s">
        <v>924</v>
      </c>
      <c r="Q22" s="16" t="n">
        <v>0</v>
      </c>
    </row>
    <row r="23" customFormat="false" ht="35.05" hidden="false" customHeight="false" outlineLevel="0" collapsed="false">
      <c r="A23" s="23" t="s">
        <v>1019</v>
      </c>
      <c r="B23" s="24" t="s">
        <v>167</v>
      </c>
      <c r="C23" s="25" t="s">
        <v>168</v>
      </c>
      <c r="D23" s="25" t="str">
        <f aca="false">IFERROR(INDEX(Equipements!$B$6:$B$200,MATCH($B23,Equipements!$A$6:$A$200,0)),"?")</f>
        <v>Chauffage &amp; climatisation</v>
      </c>
      <c r="E23" s="26" t="s">
        <v>1020</v>
      </c>
      <c r="F23" s="24" t="s">
        <v>927</v>
      </c>
      <c r="G23" s="24" t="n">
        <v>6</v>
      </c>
      <c r="H23" s="25" t="s">
        <v>711</v>
      </c>
      <c r="I23" s="25" t="s">
        <v>1021</v>
      </c>
      <c r="J23" s="24" t="n">
        <v>20</v>
      </c>
      <c r="K23" s="25" t="s">
        <v>1022</v>
      </c>
      <c r="L23" s="25" t="s">
        <v>1023</v>
      </c>
      <c r="M23" s="25" t="s">
        <v>1024</v>
      </c>
      <c r="N23" s="24" t="s">
        <v>192</v>
      </c>
      <c r="O23" s="24" t="s">
        <v>56</v>
      </c>
      <c r="P23" s="23" t="s">
        <v>940</v>
      </c>
      <c r="Q23" s="24" t="n">
        <v>20</v>
      </c>
    </row>
    <row r="24" customFormat="false" ht="23.85" hidden="false" customHeight="false" outlineLevel="0" collapsed="false">
      <c r="A24" s="23" t="s">
        <v>1025</v>
      </c>
      <c r="B24" s="24" t="s">
        <v>167</v>
      </c>
      <c r="C24" s="25" t="s">
        <v>168</v>
      </c>
      <c r="D24" s="25" t="str">
        <f aca="false">IFERROR(INDEX(Equipements!$B$6:$B$200,MATCH($B24,Equipements!$A$6:$A$200,0)),"?")</f>
        <v>Chauffage &amp; climatisation</v>
      </c>
      <c r="E24" s="26" t="s">
        <v>1026</v>
      </c>
      <c r="F24" s="24" t="s">
        <v>927</v>
      </c>
      <c r="G24" s="24" t="n">
        <v>12</v>
      </c>
      <c r="H24" s="25" t="s">
        <v>1027</v>
      </c>
      <c r="I24" s="25" t="s">
        <v>1028</v>
      </c>
      <c r="J24" s="24" t="n">
        <v>10</v>
      </c>
      <c r="K24" s="25" t="s">
        <v>1029</v>
      </c>
      <c r="L24" s="25" t="s">
        <v>1030</v>
      </c>
      <c r="M24" s="25" t="s">
        <v>1031</v>
      </c>
      <c r="N24" s="24" t="s">
        <v>192</v>
      </c>
      <c r="O24" s="24" t="s">
        <v>56</v>
      </c>
      <c r="P24" s="23" t="s">
        <v>933</v>
      </c>
      <c r="Q24" s="24" t="n">
        <v>10</v>
      </c>
    </row>
    <row r="25" customFormat="false" ht="23.85" hidden="false" customHeight="false" outlineLevel="0" collapsed="false">
      <c r="A25" s="23" t="s">
        <v>1032</v>
      </c>
      <c r="B25" s="24" t="s">
        <v>176</v>
      </c>
      <c r="C25" s="25" t="s">
        <v>177</v>
      </c>
      <c r="D25" s="25" t="str">
        <f aca="false">IFERROR(INDEX(Equipements!$B$6:$B$200,MATCH($B25,Equipements!$A$6:$A$200,0)),"?")</f>
        <v>Chauffage &amp; climatisation</v>
      </c>
      <c r="E25" s="26" t="s">
        <v>1033</v>
      </c>
      <c r="F25" s="24" t="s">
        <v>927</v>
      </c>
      <c r="G25" s="24" t="n">
        <v>1</v>
      </c>
      <c r="H25" s="25" t="s">
        <v>1034</v>
      </c>
      <c r="I25" s="25" t="s">
        <v>929</v>
      </c>
      <c r="J25" s="24" t="n">
        <v>10</v>
      </c>
      <c r="K25" s="25" t="s">
        <v>1035</v>
      </c>
      <c r="L25" s="25" t="s">
        <v>1036</v>
      </c>
      <c r="M25" s="25" t="s">
        <v>1037</v>
      </c>
      <c r="N25" s="24" t="s">
        <v>192</v>
      </c>
      <c r="O25" s="24" t="s">
        <v>56</v>
      </c>
      <c r="P25" s="23" t="s">
        <v>940</v>
      </c>
      <c r="Q25" s="24" t="n">
        <v>10</v>
      </c>
    </row>
    <row r="26" customFormat="false" ht="23.85" hidden="false" customHeight="false" outlineLevel="0" collapsed="false">
      <c r="A26" s="17" t="s">
        <v>1038</v>
      </c>
      <c r="B26" s="16" t="s">
        <v>176</v>
      </c>
      <c r="C26" s="19" t="s">
        <v>177</v>
      </c>
      <c r="D26" s="19" t="str">
        <f aca="false">IFERROR(INDEX(Equipements!$B$6:$B$200,MATCH($B26,Equipements!$A$6:$A$200,0)),"?")</f>
        <v>Chauffage &amp; climatisation</v>
      </c>
      <c r="E26" s="18" t="s">
        <v>1039</v>
      </c>
      <c r="F26" s="16" t="s">
        <v>202</v>
      </c>
      <c r="G26" s="16" t="n">
        <v>24</v>
      </c>
      <c r="H26" s="19" t="s">
        <v>170</v>
      </c>
      <c r="I26" s="19" t="s">
        <v>1040</v>
      </c>
      <c r="J26" s="16" t="n">
        <v>90</v>
      </c>
      <c r="K26" s="19" t="s">
        <v>298</v>
      </c>
      <c r="L26" s="19" t="s">
        <v>1041</v>
      </c>
      <c r="M26" s="19" t="s">
        <v>1042</v>
      </c>
      <c r="N26" s="17" t="s">
        <v>97</v>
      </c>
      <c r="O26" s="16" t="s">
        <v>56</v>
      </c>
      <c r="P26" s="17" t="s">
        <v>924</v>
      </c>
      <c r="Q26" s="16" t="n">
        <v>0</v>
      </c>
    </row>
    <row r="27" customFormat="false" ht="35.05" hidden="false" customHeight="false" outlineLevel="0" collapsed="false">
      <c r="A27" s="23" t="s">
        <v>1043</v>
      </c>
      <c r="B27" s="24" t="s">
        <v>189</v>
      </c>
      <c r="C27" s="25" t="s">
        <v>190</v>
      </c>
      <c r="D27" s="25" t="str">
        <f aca="false">IFERROR(INDEX(Equipements!$B$6:$B$200,MATCH($B27,Equipements!$A$6:$A$200,0)),"?")</f>
        <v>Chauffage &amp; climatisation</v>
      </c>
      <c r="E27" s="26" t="s">
        <v>1044</v>
      </c>
      <c r="F27" s="24" t="s">
        <v>927</v>
      </c>
      <c r="G27" s="24" t="n">
        <v>12</v>
      </c>
      <c r="H27" s="25" t="s">
        <v>1027</v>
      </c>
      <c r="I27" s="25" t="s">
        <v>1045</v>
      </c>
      <c r="J27" s="24" t="n">
        <v>30</v>
      </c>
      <c r="K27" s="25" t="s">
        <v>1046</v>
      </c>
      <c r="L27" s="25" t="s">
        <v>1047</v>
      </c>
      <c r="M27" s="25" t="s">
        <v>1048</v>
      </c>
      <c r="N27" s="24" t="s">
        <v>192</v>
      </c>
      <c r="O27" s="24" t="s">
        <v>56</v>
      </c>
      <c r="P27" s="23" t="s">
        <v>940</v>
      </c>
      <c r="Q27" s="24" t="n">
        <v>30</v>
      </c>
    </row>
    <row r="28" customFormat="false" ht="23.85" hidden="false" customHeight="false" outlineLevel="0" collapsed="false">
      <c r="A28" s="23" t="s">
        <v>1049</v>
      </c>
      <c r="B28" s="24" t="s">
        <v>189</v>
      </c>
      <c r="C28" s="25" t="s">
        <v>190</v>
      </c>
      <c r="D28" s="25" t="str">
        <f aca="false">IFERROR(INDEX(Equipements!$B$6:$B$200,MATCH($B28,Equipements!$A$6:$A$200,0)),"?")</f>
        <v>Chauffage &amp; climatisation</v>
      </c>
      <c r="E28" s="26" t="s">
        <v>1050</v>
      </c>
      <c r="F28" s="24" t="s">
        <v>927</v>
      </c>
      <c r="G28" s="24" t="n">
        <v>6</v>
      </c>
      <c r="H28" s="25" t="s">
        <v>711</v>
      </c>
      <c r="I28" s="25" t="s">
        <v>1051</v>
      </c>
      <c r="J28" s="24" t="n">
        <v>20</v>
      </c>
      <c r="K28" s="25" t="s">
        <v>1052</v>
      </c>
      <c r="L28" s="25" t="s">
        <v>1053</v>
      </c>
      <c r="M28" s="25" t="s">
        <v>1054</v>
      </c>
      <c r="N28" s="24" t="s">
        <v>192</v>
      </c>
      <c r="O28" s="24" t="s">
        <v>56</v>
      </c>
      <c r="P28" s="23" t="s">
        <v>940</v>
      </c>
      <c r="Q28" s="24" t="n">
        <v>20</v>
      </c>
    </row>
    <row r="29" customFormat="false" ht="23.85" hidden="false" customHeight="false" outlineLevel="0" collapsed="false">
      <c r="A29" s="13" t="s">
        <v>1055</v>
      </c>
      <c r="B29" s="27" t="s">
        <v>199</v>
      </c>
      <c r="C29" s="28" t="s">
        <v>200</v>
      </c>
      <c r="D29" s="28" t="str">
        <f aca="false">IFERROR(INDEX(Equipements!$B$6:$B$200,MATCH($B29,Equipements!$A$6:$A$200,0)),"?")</f>
        <v>Chauffage &amp; climatisation</v>
      </c>
      <c r="E29" s="12" t="s">
        <v>1056</v>
      </c>
      <c r="F29" s="27" t="s">
        <v>202</v>
      </c>
      <c r="G29" s="27" t="n">
        <v>108</v>
      </c>
      <c r="H29" s="28" t="s">
        <v>1057</v>
      </c>
      <c r="I29" s="28" t="s">
        <v>1058</v>
      </c>
      <c r="J29" s="27" t="n">
        <v>240</v>
      </c>
      <c r="K29" s="28" t="s">
        <v>1059</v>
      </c>
      <c r="L29" s="28" t="s">
        <v>1060</v>
      </c>
      <c r="M29" s="28" t="s">
        <v>1061</v>
      </c>
      <c r="N29" s="27" t="s">
        <v>192</v>
      </c>
      <c r="O29" s="27" t="s">
        <v>60</v>
      </c>
      <c r="P29" s="13" t="s">
        <v>940</v>
      </c>
      <c r="Q29" s="27" t="n">
        <v>0</v>
      </c>
    </row>
    <row r="30" customFormat="false" ht="23.85" hidden="false" customHeight="false" outlineLevel="0" collapsed="false">
      <c r="A30" s="23" t="s">
        <v>1062</v>
      </c>
      <c r="B30" s="24" t="s">
        <v>216</v>
      </c>
      <c r="C30" s="25" t="s">
        <v>217</v>
      </c>
      <c r="D30" s="25" t="str">
        <f aca="false">IFERROR(INDEX(Equipements!$B$6:$B$200,MATCH($B30,Equipements!$A$6:$A$200,0)),"?")</f>
        <v>Chauffage &amp; climatisation</v>
      </c>
      <c r="E30" s="26" t="s">
        <v>1063</v>
      </c>
      <c r="F30" s="24" t="s">
        <v>927</v>
      </c>
      <c r="G30" s="24" t="n">
        <v>12</v>
      </c>
      <c r="H30" s="25" t="s">
        <v>1027</v>
      </c>
      <c r="I30" s="25" t="s">
        <v>1064</v>
      </c>
      <c r="J30" s="24" t="n">
        <v>15</v>
      </c>
      <c r="K30" s="25" t="s">
        <v>1065</v>
      </c>
      <c r="L30" s="25" t="s">
        <v>1066</v>
      </c>
      <c r="M30" s="25" t="s">
        <v>1067</v>
      </c>
      <c r="N30" s="24" t="s">
        <v>192</v>
      </c>
      <c r="O30" s="24" t="s">
        <v>56</v>
      </c>
      <c r="P30" s="23" t="s">
        <v>940</v>
      </c>
      <c r="Q30" s="24" t="n">
        <v>15</v>
      </c>
    </row>
    <row r="31" customFormat="false" ht="23.85" hidden="false" customHeight="false" outlineLevel="0" collapsed="false">
      <c r="A31" s="13" t="s">
        <v>1068</v>
      </c>
      <c r="B31" s="27" t="s">
        <v>222</v>
      </c>
      <c r="C31" s="28" t="s">
        <v>223</v>
      </c>
      <c r="D31" s="28" t="str">
        <f aca="false">IFERROR(INDEX(Equipements!$B$6:$B$200,MATCH($B31,Equipements!$A$6:$A$200,0)),"?")</f>
        <v>Chauffage &amp; climatisation</v>
      </c>
      <c r="E31" s="12" t="s">
        <v>1069</v>
      </c>
      <c r="F31" s="27" t="s">
        <v>202</v>
      </c>
      <c r="G31" s="27" t="n">
        <v>84</v>
      </c>
      <c r="H31" s="28" t="s">
        <v>1070</v>
      </c>
      <c r="I31" s="28" t="s">
        <v>1071</v>
      </c>
      <c r="J31" s="27" t="n">
        <v>180</v>
      </c>
      <c r="K31" s="28" t="s">
        <v>1072</v>
      </c>
      <c r="L31" s="28" t="s">
        <v>1073</v>
      </c>
      <c r="M31" s="28" t="s">
        <v>1074</v>
      </c>
      <c r="N31" s="27" t="s">
        <v>225</v>
      </c>
      <c r="O31" s="27" t="s">
        <v>60</v>
      </c>
      <c r="P31" s="13" t="s">
        <v>933</v>
      </c>
      <c r="Q31" s="27" t="n">
        <v>0</v>
      </c>
    </row>
    <row r="32" customFormat="false" ht="35.05" hidden="false" customHeight="false" outlineLevel="0" collapsed="false">
      <c r="A32" s="23" t="s">
        <v>1075</v>
      </c>
      <c r="B32" s="24" t="s">
        <v>253</v>
      </c>
      <c r="C32" s="25" t="s">
        <v>255</v>
      </c>
      <c r="D32" s="25" t="str">
        <f aca="false">IFERROR(INDEX(Equipements!$B$6:$B$200,MATCH($B32,Equipements!$A$6:$A$200,0)),"?")</f>
        <v>Chauffage &amp; climatisation</v>
      </c>
      <c r="E32" s="26" t="s">
        <v>1076</v>
      </c>
      <c r="F32" s="24" t="s">
        <v>927</v>
      </c>
      <c r="G32" s="24" t="n">
        <v>1</v>
      </c>
      <c r="H32" s="25" t="s">
        <v>928</v>
      </c>
      <c r="I32" s="25" t="s">
        <v>929</v>
      </c>
      <c r="J32" s="24" t="n">
        <v>2</v>
      </c>
      <c r="K32" s="25" t="s">
        <v>1029</v>
      </c>
      <c r="L32" s="25" t="s">
        <v>1077</v>
      </c>
      <c r="M32" s="25" t="s">
        <v>1078</v>
      </c>
      <c r="N32" s="24" t="s">
        <v>192</v>
      </c>
      <c r="O32" s="24" t="s">
        <v>56</v>
      </c>
      <c r="P32" s="23" t="s">
        <v>933</v>
      </c>
      <c r="Q32" s="24" t="n">
        <v>2</v>
      </c>
    </row>
    <row r="33" customFormat="false" ht="35.05" hidden="false" customHeight="false" outlineLevel="0" collapsed="false">
      <c r="A33" s="13" t="s">
        <v>1079</v>
      </c>
      <c r="B33" s="27" t="s">
        <v>253</v>
      </c>
      <c r="C33" s="28" t="s">
        <v>255</v>
      </c>
      <c r="D33" s="28" t="str">
        <f aca="false">IFERROR(INDEX(Equipements!$B$6:$B$200,MATCH($B33,Equipements!$A$6:$A$200,0)),"?")</f>
        <v>Chauffage &amp; climatisation</v>
      </c>
      <c r="E33" s="12" t="s">
        <v>1080</v>
      </c>
      <c r="F33" s="27" t="s">
        <v>202</v>
      </c>
      <c r="G33" s="27" t="n">
        <v>24</v>
      </c>
      <c r="H33" s="28" t="s">
        <v>1081</v>
      </c>
      <c r="I33" s="28" t="s">
        <v>1082</v>
      </c>
      <c r="J33" s="27" t="n">
        <v>120</v>
      </c>
      <c r="K33" s="28" t="s">
        <v>1083</v>
      </c>
      <c r="L33" s="28" t="s">
        <v>1084</v>
      </c>
      <c r="M33" s="28" t="s">
        <v>1085</v>
      </c>
      <c r="N33" s="27" t="s">
        <v>192</v>
      </c>
      <c r="O33" s="27" t="s">
        <v>56</v>
      </c>
      <c r="P33" s="13" t="s">
        <v>933</v>
      </c>
      <c r="Q33" s="27" t="n">
        <v>0</v>
      </c>
    </row>
    <row r="34" customFormat="false" ht="23.85" hidden="false" customHeight="false" outlineLevel="0" collapsed="false">
      <c r="A34" s="23" t="s">
        <v>1086</v>
      </c>
      <c r="B34" s="24" t="s">
        <v>253</v>
      </c>
      <c r="C34" s="25" t="s">
        <v>255</v>
      </c>
      <c r="D34" s="25" t="str">
        <f aca="false">IFERROR(INDEX(Equipements!$B$6:$B$200,MATCH($B34,Equipements!$A$6:$A$200,0)),"?")</f>
        <v>Chauffage &amp; climatisation</v>
      </c>
      <c r="E34" s="26" t="s">
        <v>1087</v>
      </c>
      <c r="F34" s="24" t="s">
        <v>927</v>
      </c>
      <c r="G34" s="24" t="n">
        <v>12</v>
      </c>
      <c r="H34" s="25" t="s">
        <v>1027</v>
      </c>
      <c r="I34" s="25" t="s">
        <v>1088</v>
      </c>
      <c r="J34" s="24" t="n">
        <v>5</v>
      </c>
      <c r="K34" s="25" t="s">
        <v>1089</v>
      </c>
      <c r="L34" s="25" t="s">
        <v>1090</v>
      </c>
      <c r="M34" s="25" t="s">
        <v>1091</v>
      </c>
      <c r="N34" s="24" t="s">
        <v>192</v>
      </c>
      <c r="O34" s="24" t="s">
        <v>56</v>
      </c>
      <c r="P34" s="23" t="s">
        <v>940</v>
      </c>
      <c r="Q34" s="24" t="n">
        <v>5</v>
      </c>
    </row>
    <row r="35" customFormat="false" ht="23.85" hidden="false" customHeight="false" outlineLevel="0" collapsed="false">
      <c r="A35" s="17" t="s">
        <v>1092</v>
      </c>
      <c r="B35" s="16" t="s">
        <v>261</v>
      </c>
      <c r="C35" s="19" t="s">
        <v>262</v>
      </c>
      <c r="D35" s="19" t="str">
        <f aca="false">IFERROR(INDEX(Equipements!$B$6:$B$200,MATCH($B35,Equipements!$A$6:$A$200,0)),"?")</f>
        <v>Chauffage &amp; climatisation</v>
      </c>
      <c r="E35" s="18" t="s">
        <v>1093</v>
      </c>
      <c r="F35" s="16" t="s">
        <v>202</v>
      </c>
      <c r="G35" s="16" t="n">
        <v>24</v>
      </c>
      <c r="H35" s="19" t="s">
        <v>170</v>
      </c>
      <c r="I35" s="19" t="s">
        <v>1040</v>
      </c>
      <c r="J35" s="16" t="n">
        <v>90</v>
      </c>
      <c r="K35" s="19" t="s">
        <v>112</v>
      </c>
      <c r="L35" s="19" t="s">
        <v>1094</v>
      </c>
      <c r="M35" s="19" t="s">
        <v>1095</v>
      </c>
      <c r="N35" s="17" t="s">
        <v>97</v>
      </c>
      <c r="O35" s="16" t="s">
        <v>56</v>
      </c>
      <c r="P35" s="17" t="s">
        <v>924</v>
      </c>
      <c r="Q35" s="16" t="n">
        <v>0</v>
      </c>
    </row>
    <row r="36" customFormat="false" ht="23.85" hidden="false" customHeight="false" outlineLevel="0" collapsed="false">
      <c r="A36" s="23" t="s">
        <v>1096</v>
      </c>
      <c r="B36" s="24" t="s">
        <v>261</v>
      </c>
      <c r="C36" s="25" t="s">
        <v>262</v>
      </c>
      <c r="D36" s="25" t="str">
        <f aca="false">IFERROR(INDEX(Equipements!$B$6:$B$200,MATCH($B36,Equipements!$A$6:$A$200,0)),"?")</f>
        <v>Chauffage &amp; climatisation</v>
      </c>
      <c r="E36" s="26" t="s">
        <v>1097</v>
      </c>
      <c r="F36" s="24" t="s">
        <v>927</v>
      </c>
      <c r="G36" s="24" t="n">
        <v>3</v>
      </c>
      <c r="H36" s="25" t="s">
        <v>1098</v>
      </c>
      <c r="I36" s="25" t="s">
        <v>929</v>
      </c>
      <c r="J36" s="24" t="n">
        <v>10</v>
      </c>
      <c r="K36" s="25" t="s">
        <v>1099</v>
      </c>
      <c r="L36" s="25" t="s">
        <v>1100</v>
      </c>
      <c r="M36" s="25" t="s">
        <v>1101</v>
      </c>
      <c r="N36" s="24" t="s">
        <v>192</v>
      </c>
      <c r="O36" s="24" t="s">
        <v>56</v>
      </c>
      <c r="P36" s="23" t="s">
        <v>940</v>
      </c>
      <c r="Q36" s="24" t="n">
        <v>10</v>
      </c>
    </row>
    <row r="37" customFormat="false" ht="23.85" hidden="false" customHeight="false" outlineLevel="0" collapsed="false">
      <c r="A37" s="13" t="s">
        <v>1102</v>
      </c>
      <c r="B37" s="27" t="s">
        <v>272</v>
      </c>
      <c r="C37" s="28" t="s">
        <v>273</v>
      </c>
      <c r="D37" s="28" t="str">
        <f aca="false">IFERROR(INDEX(Equipements!$B$6:$B$200,MATCH($B37,Equipements!$A$6:$A$200,0)),"?")</f>
        <v>Chauffage &amp; climatisation</v>
      </c>
      <c r="E37" s="12" t="s">
        <v>1103</v>
      </c>
      <c r="F37" s="27" t="s">
        <v>202</v>
      </c>
      <c r="G37" s="27" t="n">
        <v>12</v>
      </c>
      <c r="H37" s="28" t="s">
        <v>1027</v>
      </c>
      <c r="I37" s="28" t="s">
        <v>1040</v>
      </c>
      <c r="J37" s="27" t="n">
        <v>60</v>
      </c>
      <c r="K37" s="28" t="s">
        <v>112</v>
      </c>
      <c r="L37" s="28" t="s">
        <v>1104</v>
      </c>
      <c r="M37" s="28" t="s">
        <v>1105</v>
      </c>
      <c r="N37" s="27" t="s">
        <v>192</v>
      </c>
      <c r="O37" s="27" t="s">
        <v>58</v>
      </c>
      <c r="P37" s="13" t="s">
        <v>940</v>
      </c>
      <c r="Q37" s="27" t="n">
        <v>0</v>
      </c>
    </row>
    <row r="38" customFormat="false" ht="23.85" hidden="false" customHeight="false" outlineLevel="0" collapsed="false">
      <c r="A38" s="23" t="s">
        <v>1106</v>
      </c>
      <c r="B38" s="24" t="s">
        <v>289</v>
      </c>
      <c r="C38" s="25" t="s">
        <v>290</v>
      </c>
      <c r="D38" s="25" t="str">
        <f aca="false">IFERROR(INDEX(Equipements!$B$6:$B$200,MATCH($B38,Equipements!$A$6:$A$200,0)),"?")</f>
        <v>Maison &amp; securite</v>
      </c>
      <c r="E38" s="26" t="s">
        <v>1107</v>
      </c>
      <c r="F38" s="24" t="s">
        <v>927</v>
      </c>
      <c r="G38" s="24" t="n">
        <v>1</v>
      </c>
      <c r="H38" s="25" t="s">
        <v>928</v>
      </c>
      <c r="I38" s="25" t="s">
        <v>929</v>
      </c>
      <c r="J38" s="24" t="n">
        <v>10</v>
      </c>
      <c r="K38" s="25" t="s">
        <v>1108</v>
      </c>
      <c r="L38" s="25" t="s">
        <v>1109</v>
      </c>
      <c r="M38" s="25" t="s">
        <v>1110</v>
      </c>
      <c r="N38" s="24" t="s">
        <v>192</v>
      </c>
      <c r="O38" s="24" t="s">
        <v>56</v>
      </c>
      <c r="P38" s="23" t="s">
        <v>933</v>
      </c>
      <c r="Q38" s="24" t="n">
        <v>10</v>
      </c>
    </row>
    <row r="39" customFormat="false" ht="23.85" hidden="false" customHeight="false" outlineLevel="0" collapsed="false">
      <c r="A39" s="23" t="s">
        <v>1111</v>
      </c>
      <c r="B39" s="24" t="s">
        <v>289</v>
      </c>
      <c r="C39" s="25" t="s">
        <v>290</v>
      </c>
      <c r="D39" s="25" t="str">
        <f aca="false">IFERROR(INDEX(Equipements!$B$6:$B$200,MATCH($B39,Equipements!$A$6:$A$200,0)),"?")</f>
        <v>Maison &amp; securite</v>
      </c>
      <c r="E39" s="26" t="s">
        <v>1112</v>
      </c>
      <c r="F39" s="24" t="s">
        <v>927</v>
      </c>
      <c r="G39" s="24" t="n">
        <v>12</v>
      </c>
      <c r="H39" s="25" t="s">
        <v>1027</v>
      </c>
      <c r="I39" s="25" t="s">
        <v>929</v>
      </c>
      <c r="J39" s="24" t="n">
        <v>30</v>
      </c>
      <c r="K39" s="25" t="s">
        <v>1113</v>
      </c>
      <c r="L39" s="25" t="s">
        <v>1114</v>
      </c>
      <c r="M39" s="25" t="s">
        <v>1115</v>
      </c>
      <c r="N39" s="24" t="s">
        <v>192</v>
      </c>
      <c r="O39" s="24" t="s">
        <v>58</v>
      </c>
      <c r="P39" s="23" t="s">
        <v>940</v>
      </c>
      <c r="Q39" s="24" t="n">
        <v>30</v>
      </c>
    </row>
    <row r="40" customFormat="false" ht="35.05" hidden="false" customHeight="false" outlineLevel="0" collapsed="false">
      <c r="A40" s="23" t="s">
        <v>1116</v>
      </c>
      <c r="B40" s="24" t="s">
        <v>317</v>
      </c>
      <c r="C40" s="25" t="s">
        <v>319</v>
      </c>
      <c r="D40" s="25" t="str">
        <f aca="false">IFERROR(INDEX(Equipements!$B$6:$B$200,MATCH($B40,Equipements!$A$6:$A$200,0)),"?")</f>
        <v>Chauffage &amp; climatisation</v>
      </c>
      <c r="E40" s="26" t="s">
        <v>1117</v>
      </c>
      <c r="F40" s="24" t="s">
        <v>927</v>
      </c>
      <c r="G40" s="24" t="n">
        <v>6</v>
      </c>
      <c r="H40" s="25" t="s">
        <v>711</v>
      </c>
      <c r="I40" s="25" t="s">
        <v>1021</v>
      </c>
      <c r="J40" s="24" t="n">
        <v>30</v>
      </c>
      <c r="K40" s="25" t="s">
        <v>1118</v>
      </c>
      <c r="L40" s="25" t="s">
        <v>1119</v>
      </c>
      <c r="M40" s="25" t="s">
        <v>1120</v>
      </c>
      <c r="N40" s="24" t="s">
        <v>192</v>
      </c>
      <c r="O40" s="24" t="s">
        <v>56</v>
      </c>
      <c r="P40" s="23" t="s">
        <v>933</v>
      </c>
      <c r="Q40" s="24" t="n">
        <v>30</v>
      </c>
    </row>
    <row r="41" customFormat="false" ht="23.85" hidden="false" customHeight="false" outlineLevel="0" collapsed="false">
      <c r="A41" s="13" t="s">
        <v>1121</v>
      </c>
      <c r="B41" s="27" t="s">
        <v>317</v>
      </c>
      <c r="C41" s="28" t="s">
        <v>319</v>
      </c>
      <c r="D41" s="28" t="str">
        <f aca="false">IFERROR(INDEX(Equipements!$B$6:$B$200,MATCH($B41,Equipements!$A$6:$A$200,0)),"?")</f>
        <v>Chauffage &amp; climatisation</v>
      </c>
      <c r="E41" s="12" t="s">
        <v>1122</v>
      </c>
      <c r="F41" s="27" t="s">
        <v>202</v>
      </c>
      <c r="G41" s="27" t="n">
        <v>24</v>
      </c>
      <c r="H41" s="28" t="s">
        <v>170</v>
      </c>
      <c r="I41" s="28" t="s">
        <v>1123</v>
      </c>
      <c r="J41" s="27" t="n">
        <v>60</v>
      </c>
      <c r="K41" s="28" t="s">
        <v>1124</v>
      </c>
      <c r="L41" s="28" t="s">
        <v>1125</v>
      </c>
      <c r="M41" s="28" t="s">
        <v>1126</v>
      </c>
      <c r="N41" s="27" t="s">
        <v>192</v>
      </c>
      <c r="O41" s="27" t="s">
        <v>58</v>
      </c>
      <c r="P41" s="13" t="s">
        <v>940</v>
      </c>
      <c r="Q41" s="27" t="n">
        <v>0</v>
      </c>
    </row>
    <row r="42" customFormat="false" ht="23.85" hidden="false" customHeight="false" outlineLevel="0" collapsed="false">
      <c r="A42" s="23" t="s">
        <v>1127</v>
      </c>
      <c r="B42" s="24" t="s">
        <v>327</v>
      </c>
      <c r="C42" s="25" t="s">
        <v>328</v>
      </c>
      <c r="D42" s="25" t="str">
        <f aca="false">IFERROR(INDEX(Equipements!$B$6:$B$200,MATCH($B42,Equipements!$A$6:$A$200,0)),"?")</f>
        <v>Chauffage &amp; climatisation</v>
      </c>
      <c r="E42" s="26" t="s">
        <v>1128</v>
      </c>
      <c r="F42" s="24" t="s">
        <v>927</v>
      </c>
      <c r="G42" s="24" t="n">
        <v>4</v>
      </c>
      <c r="H42" s="25" t="s">
        <v>1129</v>
      </c>
      <c r="I42" s="25" t="s">
        <v>929</v>
      </c>
      <c r="J42" s="24" t="n">
        <v>20</v>
      </c>
      <c r="K42" s="25" t="s">
        <v>1130</v>
      </c>
      <c r="L42" s="25" t="s">
        <v>1131</v>
      </c>
      <c r="M42" s="25" t="s">
        <v>1132</v>
      </c>
      <c r="N42" s="24" t="s">
        <v>192</v>
      </c>
      <c r="O42" s="24" t="s">
        <v>56</v>
      </c>
      <c r="P42" s="23" t="s">
        <v>933</v>
      </c>
      <c r="Q42" s="24" t="n">
        <v>20</v>
      </c>
    </row>
    <row r="43" customFormat="false" ht="23.85" hidden="false" customHeight="false" outlineLevel="0" collapsed="false">
      <c r="A43" s="23" t="s">
        <v>1133</v>
      </c>
      <c r="B43" s="24" t="s">
        <v>327</v>
      </c>
      <c r="C43" s="25" t="s">
        <v>328</v>
      </c>
      <c r="D43" s="25" t="str">
        <f aca="false">IFERROR(INDEX(Equipements!$B$6:$B$200,MATCH($B43,Equipements!$A$6:$A$200,0)),"?")</f>
        <v>Chauffage &amp; climatisation</v>
      </c>
      <c r="E43" s="26" t="s">
        <v>1134</v>
      </c>
      <c r="F43" s="24" t="s">
        <v>927</v>
      </c>
      <c r="G43" s="24" t="n">
        <v>12</v>
      </c>
      <c r="H43" s="25" t="s">
        <v>1027</v>
      </c>
      <c r="I43" s="25" t="s">
        <v>1135</v>
      </c>
      <c r="J43" s="24" t="n">
        <v>45</v>
      </c>
      <c r="K43" s="25" t="s">
        <v>1035</v>
      </c>
      <c r="L43" s="25" t="s">
        <v>1136</v>
      </c>
      <c r="M43" s="25" t="s">
        <v>1137</v>
      </c>
      <c r="N43" s="24" t="s">
        <v>192</v>
      </c>
      <c r="O43" s="24" t="s">
        <v>58</v>
      </c>
      <c r="P43" s="23" t="s">
        <v>940</v>
      </c>
      <c r="Q43" s="24" t="n">
        <v>45</v>
      </c>
    </row>
    <row r="44" customFormat="false" ht="23.85" hidden="false" customHeight="false" outlineLevel="0" collapsed="false">
      <c r="A44" s="23" t="s">
        <v>1138</v>
      </c>
      <c r="B44" s="24" t="s">
        <v>335</v>
      </c>
      <c r="C44" s="25" t="s">
        <v>336</v>
      </c>
      <c r="D44" s="25" t="str">
        <f aca="false">IFERROR(INDEX(Equipements!$B$6:$B$200,MATCH($B44,Equipements!$A$6:$A$200,0)),"?")</f>
        <v>Cuisine</v>
      </c>
      <c r="E44" s="26" t="s">
        <v>1139</v>
      </c>
      <c r="F44" s="24" t="s">
        <v>927</v>
      </c>
      <c r="G44" s="24" t="n">
        <v>1</v>
      </c>
      <c r="H44" s="25" t="s">
        <v>928</v>
      </c>
      <c r="I44" s="25" t="s">
        <v>929</v>
      </c>
      <c r="J44" s="24" t="n">
        <v>15</v>
      </c>
      <c r="K44" s="25" t="s">
        <v>1140</v>
      </c>
      <c r="L44" s="25" t="s">
        <v>1141</v>
      </c>
      <c r="M44" s="25" t="s">
        <v>1142</v>
      </c>
      <c r="N44" s="24" t="s">
        <v>192</v>
      </c>
      <c r="O44" s="24" t="s">
        <v>56</v>
      </c>
      <c r="P44" s="23" t="s">
        <v>933</v>
      </c>
      <c r="Q44" s="24" t="n">
        <v>5</v>
      </c>
    </row>
    <row r="45" customFormat="false" ht="23.85" hidden="false" customHeight="false" outlineLevel="0" collapsed="false">
      <c r="A45" s="23" t="s">
        <v>1143</v>
      </c>
      <c r="B45" s="24" t="s">
        <v>335</v>
      </c>
      <c r="C45" s="25" t="s">
        <v>336</v>
      </c>
      <c r="D45" s="25" t="str">
        <f aca="false">IFERROR(INDEX(Equipements!$B$6:$B$200,MATCH($B45,Equipements!$A$6:$A$200,0)),"?")</f>
        <v>Cuisine</v>
      </c>
      <c r="E45" s="26" t="s">
        <v>1144</v>
      </c>
      <c r="F45" s="24" t="s">
        <v>927</v>
      </c>
      <c r="G45" s="24" t="n">
        <v>6</v>
      </c>
      <c r="H45" s="25" t="s">
        <v>1145</v>
      </c>
      <c r="I45" s="25" t="s">
        <v>929</v>
      </c>
      <c r="J45" s="24" t="n">
        <v>10</v>
      </c>
      <c r="K45" s="25" t="s">
        <v>1146</v>
      </c>
      <c r="L45" s="25" t="s">
        <v>1147</v>
      </c>
      <c r="M45" s="25" t="s">
        <v>1148</v>
      </c>
      <c r="N45" s="24" t="s">
        <v>192</v>
      </c>
      <c r="O45" s="24" t="s">
        <v>56</v>
      </c>
      <c r="P45" s="23" t="s">
        <v>940</v>
      </c>
      <c r="Q45" s="24" t="n">
        <v>10</v>
      </c>
    </row>
    <row r="46" customFormat="false" ht="23.85" hidden="false" customHeight="false" outlineLevel="0" collapsed="false">
      <c r="A46" s="23" t="s">
        <v>1149</v>
      </c>
      <c r="B46" s="24" t="s">
        <v>342</v>
      </c>
      <c r="C46" s="25" t="s">
        <v>343</v>
      </c>
      <c r="D46" s="25" t="str">
        <f aca="false">IFERROR(INDEX(Equipements!$B$6:$B$200,MATCH($B46,Equipements!$A$6:$A$200,0)),"?")</f>
        <v>Chauffage &amp; climatisation</v>
      </c>
      <c r="E46" s="26" t="s">
        <v>1150</v>
      </c>
      <c r="F46" s="24" t="s">
        <v>927</v>
      </c>
      <c r="G46" s="24" t="n">
        <v>6</v>
      </c>
      <c r="H46" s="25" t="s">
        <v>711</v>
      </c>
      <c r="I46" s="25" t="s">
        <v>1021</v>
      </c>
      <c r="J46" s="24" t="n">
        <v>15</v>
      </c>
      <c r="K46" s="25" t="s">
        <v>1151</v>
      </c>
      <c r="L46" s="25" t="s">
        <v>1152</v>
      </c>
      <c r="M46" s="25" t="s">
        <v>1153</v>
      </c>
      <c r="N46" s="24" t="s">
        <v>192</v>
      </c>
      <c r="O46" s="24" t="s">
        <v>56</v>
      </c>
      <c r="P46" s="23" t="s">
        <v>940</v>
      </c>
      <c r="Q46" s="24" t="n">
        <v>15</v>
      </c>
    </row>
    <row r="47" customFormat="false" ht="23.85" hidden="false" customHeight="false" outlineLevel="0" collapsed="false">
      <c r="A47" s="23" t="s">
        <v>1154</v>
      </c>
      <c r="B47" s="24" t="s">
        <v>353</v>
      </c>
      <c r="C47" s="25" t="s">
        <v>355</v>
      </c>
      <c r="D47" s="25" t="str">
        <f aca="false">IFERROR(INDEX(Equipements!$B$6:$B$200,MATCH($B47,Equipements!$A$6:$A$200,0)),"?")</f>
        <v>Cuisine</v>
      </c>
      <c r="E47" s="26" t="s">
        <v>1155</v>
      </c>
      <c r="F47" s="24" t="s">
        <v>927</v>
      </c>
      <c r="G47" s="24" t="n">
        <v>6</v>
      </c>
      <c r="H47" s="25" t="s">
        <v>711</v>
      </c>
      <c r="I47" s="25" t="s">
        <v>1021</v>
      </c>
      <c r="J47" s="24" t="n">
        <v>15</v>
      </c>
      <c r="K47" s="25" t="s">
        <v>1156</v>
      </c>
      <c r="L47" s="25" t="s">
        <v>1157</v>
      </c>
      <c r="M47" s="25" t="s">
        <v>1158</v>
      </c>
      <c r="N47" s="24" t="s">
        <v>192</v>
      </c>
      <c r="O47" s="24" t="s">
        <v>56</v>
      </c>
      <c r="P47" s="23" t="s">
        <v>933</v>
      </c>
      <c r="Q47" s="24" t="n">
        <v>15</v>
      </c>
    </row>
    <row r="48" customFormat="false" ht="23.85" hidden="false" customHeight="false" outlineLevel="0" collapsed="false">
      <c r="A48" s="23" t="s">
        <v>1159</v>
      </c>
      <c r="B48" s="24" t="s">
        <v>353</v>
      </c>
      <c r="C48" s="25" t="s">
        <v>355</v>
      </c>
      <c r="D48" s="25" t="str">
        <f aca="false">IFERROR(INDEX(Equipements!$B$6:$B$200,MATCH($B48,Equipements!$A$6:$A$200,0)),"?")</f>
        <v>Cuisine</v>
      </c>
      <c r="E48" s="26" t="s">
        <v>1160</v>
      </c>
      <c r="F48" s="24" t="s">
        <v>927</v>
      </c>
      <c r="G48" s="24" t="n">
        <v>6</v>
      </c>
      <c r="H48" s="25" t="s">
        <v>711</v>
      </c>
      <c r="I48" s="25" t="s">
        <v>1021</v>
      </c>
      <c r="J48" s="24" t="n">
        <v>10</v>
      </c>
      <c r="K48" s="25" t="s">
        <v>1161</v>
      </c>
      <c r="L48" s="25" t="s">
        <v>1162</v>
      </c>
      <c r="M48" s="25" t="s">
        <v>1163</v>
      </c>
      <c r="N48" s="24" t="s">
        <v>192</v>
      </c>
      <c r="O48" s="24" t="s">
        <v>56</v>
      </c>
      <c r="P48" s="23" t="s">
        <v>940</v>
      </c>
      <c r="Q48" s="24" t="n">
        <v>10</v>
      </c>
    </row>
    <row r="49" customFormat="false" ht="23.85" hidden="false" customHeight="false" outlineLevel="0" collapsed="false">
      <c r="A49" s="23" t="s">
        <v>1164</v>
      </c>
      <c r="B49" s="24" t="s">
        <v>353</v>
      </c>
      <c r="C49" s="25" t="s">
        <v>355</v>
      </c>
      <c r="D49" s="25" t="str">
        <f aca="false">IFERROR(INDEX(Equipements!$B$6:$B$200,MATCH($B49,Equipements!$A$6:$A$200,0)),"?")</f>
        <v>Cuisine</v>
      </c>
      <c r="E49" s="26" t="s">
        <v>1165</v>
      </c>
      <c r="F49" s="24" t="s">
        <v>927</v>
      </c>
      <c r="G49" s="24" t="n">
        <v>6</v>
      </c>
      <c r="H49" s="25" t="s">
        <v>711</v>
      </c>
      <c r="I49" s="25" t="s">
        <v>1021</v>
      </c>
      <c r="J49" s="24" t="n">
        <v>10</v>
      </c>
      <c r="K49" s="25" t="s">
        <v>1166</v>
      </c>
      <c r="L49" s="25" t="s">
        <v>1167</v>
      </c>
      <c r="M49" s="25" t="s">
        <v>1168</v>
      </c>
      <c r="N49" s="24" t="s">
        <v>192</v>
      </c>
      <c r="O49" s="24" t="s">
        <v>56</v>
      </c>
      <c r="P49" s="23" t="s">
        <v>940</v>
      </c>
      <c r="Q49" s="24" t="n">
        <v>10</v>
      </c>
    </row>
    <row r="50" customFormat="false" ht="35.05" hidden="false" customHeight="false" outlineLevel="0" collapsed="false">
      <c r="A50" s="23" t="s">
        <v>1169</v>
      </c>
      <c r="B50" s="24" t="s">
        <v>361</v>
      </c>
      <c r="C50" s="25" t="s">
        <v>362</v>
      </c>
      <c r="D50" s="25" t="str">
        <f aca="false">IFERROR(INDEX(Equipements!$B$6:$B$200,MATCH($B50,Equipements!$A$6:$A$200,0)),"?")</f>
        <v>Cuisine</v>
      </c>
      <c r="E50" s="26" t="s">
        <v>1170</v>
      </c>
      <c r="F50" s="24" t="s">
        <v>927</v>
      </c>
      <c r="G50" s="24" t="n">
        <v>12</v>
      </c>
      <c r="H50" s="25" t="s">
        <v>1171</v>
      </c>
      <c r="I50" s="25" t="s">
        <v>1172</v>
      </c>
      <c r="J50" s="24" t="n">
        <v>180</v>
      </c>
      <c r="K50" s="25" t="s">
        <v>1173</v>
      </c>
      <c r="L50" s="25" t="s">
        <v>1174</v>
      </c>
      <c r="M50" s="25" t="s">
        <v>1175</v>
      </c>
      <c r="N50" s="24" t="s">
        <v>192</v>
      </c>
      <c r="O50" s="24" t="s">
        <v>56</v>
      </c>
      <c r="P50" s="23" t="s">
        <v>933</v>
      </c>
      <c r="Q50" s="24" t="n">
        <v>30</v>
      </c>
    </row>
    <row r="51" customFormat="false" ht="23.85" hidden="false" customHeight="false" outlineLevel="0" collapsed="false">
      <c r="A51" s="23" t="s">
        <v>1176</v>
      </c>
      <c r="B51" s="24" t="s">
        <v>368</v>
      </c>
      <c r="C51" s="25" t="s">
        <v>369</v>
      </c>
      <c r="D51" s="25" t="str">
        <f aca="false">IFERROR(INDEX(Equipements!$B$6:$B$200,MATCH($B51,Equipements!$A$6:$A$200,0)),"?")</f>
        <v>Cuisine</v>
      </c>
      <c r="E51" s="26" t="s">
        <v>1177</v>
      </c>
      <c r="F51" s="24" t="s">
        <v>927</v>
      </c>
      <c r="G51" s="24" t="n">
        <v>6</v>
      </c>
      <c r="H51" s="25" t="s">
        <v>711</v>
      </c>
      <c r="I51" s="25" t="s">
        <v>929</v>
      </c>
      <c r="J51" s="24" t="n">
        <v>10</v>
      </c>
      <c r="K51" s="25" t="s">
        <v>1178</v>
      </c>
      <c r="L51" s="25" t="s">
        <v>1179</v>
      </c>
      <c r="M51" s="25" t="s">
        <v>1180</v>
      </c>
      <c r="N51" s="24" t="s">
        <v>192</v>
      </c>
      <c r="O51" s="24" t="s">
        <v>56</v>
      </c>
      <c r="P51" s="23" t="s">
        <v>940</v>
      </c>
      <c r="Q51" s="24" t="n">
        <v>10</v>
      </c>
    </row>
    <row r="52" customFormat="false" ht="23.85" hidden="false" customHeight="false" outlineLevel="0" collapsed="false">
      <c r="A52" s="23" t="s">
        <v>1181</v>
      </c>
      <c r="B52" s="24" t="s">
        <v>383</v>
      </c>
      <c r="C52" s="25" t="s">
        <v>385</v>
      </c>
      <c r="D52" s="25" t="str">
        <f aca="false">IFERROR(INDEX(Equipements!$B$6:$B$200,MATCH($B52,Equipements!$A$6:$A$200,0)),"?")</f>
        <v>Buanderie</v>
      </c>
      <c r="E52" s="26" t="s">
        <v>1182</v>
      </c>
      <c r="F52" s="24" t="s">
        <v>927</v>
      </c>
      <c r="G52" s="24" t="n">
        <v>3</v>
      </c>
      <c r="H52" s="25" t="s">
        <v>1098</v>
      </c>
      <c r="I52" s="25" t="s">
        <v>929</v>
      </c>
      <c r="J52" s="24" t="n">
        <v>15</v>
      </c>
      <c r="K52" s="25" t="s">
        <v>1183</v>
      </c>
      <c r="L52" s="25" t="s">
        <v>1184</v>
      </c>
      <c r="M52" s="25" t="s">
        <v>1185</v>
      </c>
      <c r="N52" s="24" t="s">
        <v>192</v>
      </c>
      <c r="O52" s="24" t="s">
        <v>56</v>
      </c>
      <c r="P52" s="23" t="s">
        <v>933</v>
      </c>
      <c r="Q52" s="24" t="n">
        <v>15</v>
      </c>
    </row>
    <row r="53" customFormat="false" ht="23.85" hidden="false" customHeight="false" outlineLevel="0" collapsed="false">
      <c r="A53" s="23" t="s">
        <v>1186</v>
      </c>
      <c r="B53" s="24" t="s">
        <v>383</v>
      </c>
      <c r="C53" s="25" t="s">
        <v>385</v>
      </c>
      <c r="D53" s="25" t="str">
        <f aca="false">IFERROR(INDEX(Equipements!$B$6:$B$200,MATCH($B53,Equipements!$A$6:$A$200,0)),"?")</f>
        <v>Buanderie</v>
      </c>
      <c r="E53" s="26" t="s">
        <v>1187</v>
      </c>
      <c r="F53" s="24" t="s">
        <v>927</v>
      </c>
      <c r="G53" s="24" t="n">
        <v>1</v>
      </c>
      <c r="H53" s="25" t="s">
        <v>928</v>
      </c>
      <c r="I53" s="25" t="s">
        <v>929</v>
      </c>
      <c r="J53" s="24" t="n">
        <v>10</v>
      </c>
      <c r="K53" s="25" t="s">
        <v>1188</v>
      </c>
      <c r="L53" s="25" t="s">
        <v>1189</v>
      </c>
      <c r="M53" s="25" t="s">
        <v>1190</v>
      </c>
      <c r="N53" s="24" t="s">
        <v>192</v>
      </c>
      <c r="O53" s="24" t="s">
        <v>56</v>
      </c>
      <c r="P53" s="23" t="s">
        <v>940</v>
      </c>
      <c r="Q53" s="24" t="n">
        <v>10</v>
      </c>
    </row>
    <row r="54" customFormat="false" ht="23.85" hidden="false" customHeight="false" outlineLevel="0" collapsed="false">
      <c r="A54" s="23" t="s">
        <v>1191</v>
      </c>
      <c r="B54" s="24" t="s">
        <v>383</v>
      </c>
      <c r="C54" s="25" t="s">
        <v>385</v>
      </c>
      <c r="D54" s="25" t="str">
        <f aca="false">IFERROR(INDEX(Equipements!$B$6:$B$200,MATCH($B54,Equipements!$A$6:$A$200,0)),"?")</f>
        <v>Buanderie</v>
      </c>
      <c r="E54" s="26" t="s">
        <v>1192</v>
      </c>
      <c r="F54" s="24" t="s">
        <v>927</v>
      </c>
      <c r="G54" s="24" t="n">
        <v>6</v>
      </c>
      <c r="H54" s="25" t="s">
        <v>711</v>
      </c>
      <c r="I54" s="25" t="s">
        <v>929</v>
      </c>
      <c r="J54" s="24" t="n">
        <v>120</v>
      </c>
      <c r="K54" s="25" t="s">
        <v>1193</v>
      </c>
      <c r="L54" s="25" t="s">
        <v>1194</v>
      </c>
      <c r="M54" s="25" t="s">
        <v>1195</v>
      </c>
      <c r="N54" s="24" t="s">
        <v>192</v>
      </c>
      <c r="O54" s="24" t="s">
        <v>56</v>
      </c>
      <c r="P54" s="23" t="s">
        <v>940</v>
      </c>
      <c r="Q54" s="24" t="n">
        <v>5</v>
      </c>
    </row>
    <row r="55" customFormat="false" ht="23.85" hidden="false" customHeight="false" outlineLevel="0" collapsed="false">
      <c r="A55" s="23" t="s">
        <v>1196</v>
      </c>
      <c r="B55" s="24" t="s">
        <v>383</v>
      </c>
      <c r="C55" s="25" t="s">
        <v>385</v>
      </c>
      <c r="D55" s="25" t="str">
        <f aca="false">IFERROR(INDEX(Equipements!$B$6:$B$200,MATCH($B55,Equipements!$A$6:$A$200,0)),"?")</f>
        <v>Buanderie</v>
      </c>
      <c r="E55" s="26" t="s">
        <v>1197</v>
      </c>
      <c r="F55" s="24" t="s">
        <v>927</v>
      </c>
      <c r="G55" s="24" t="n">
        <v>60</v>
      </c>
      <c r="H55" s="25" t="s">
        <v>1198</v>
      </c>
      <c r="I55" s="25" t="s">
        <v>929</v>
      </c>
      <c r="J55" s="24" t="n">
        <v>20</v>
      </c>
      <c r="K55" s="25" t="s">
        <v>1199</v>
      </c>
      <c r="L55" s="25" t="s">
        <v>1200</v>
      </c>
      <c r="M55" s="25" t="s">
        <v>1201</v>
      </c>
      <c r="N55" s="24" t="s">
        <v>192</v>
      </c>
      <c r="O55" s="24" t="s">
        <v>56</v>
      </c>
      <c r="P55" s="23" t="s">
        <v>933</v>
      </c>
      <c r="Q55" s="24" t="n">
        <v>20</v>
      </c>
    </row>
    <row r="56" customFormat="false" ht="23.85" hidden="false" customHeight="false" outlineLevel="0" collapsed="false">
      <c r="A56" s="23" t="s">
        <v>1202</v>
      </c>
      <c r="B56" s="24" t="s">
        <v>392</v>
      </c>
      <c r="C56" s="25" t="s">
        <v>393</v>
      </c>
      <c r="D56" s="25" t="str">
        <f aca="false">IFERROR(INDEX(Equipements!$B$6:$B$200,MATCH($B56,Equipements!$A$6:$A$200,0)),"?")</f>
        <v>Buanderie</v>
      </c>
      <c r="E56" s="26" t="s">
        <v>1203</v>
      </c>
      <c r="F56" s="24" t="s">
        <v>927</v>
      </c>
      <c r="G56" s="24" t="n">
        <v>0.03</v>
      </c>
      <c r="H56" s="25" t="s">
        <v>1204</v>
      </c>
      <c r="I56" s="25" t="s">
        <v>929</v>
      </c>
      <c r="J56" s="24" t="n">
        <v>2</v>
      </c>
      <c r="K56" s="25" t="s">
        <v>1029</v>
      </c>
      <c r="L56" s="25" t="s">
        <v>1205</v>
      </c>
      <c r="M56" s="25" t="s">
        <v>1206</v>
      </c>
      <c r="N56" s="24" t="s">
        <v>192</v>
      </c>
      <c r="O56" s="24" t="s">
        <v>56</v>
      </c>
      <c r="P56" s="23" t="s">
        <v>933</v>
      </c>
      <c r="Q56" s="24" t="n">
        <v>2</v>
      </c>
    </row>
    <row r="57" customFormat="false" ht="23.85" hidden="false" customHeight="false" outlineLevel="0" collapsed="false">
      <c r="A57" s="23" t="s">
        <v>1207</v>
      </c>
      <c r="B57" s="24" t="s">
        <v>392</v>
      </c>
      <c r="C57" s="25" t="s">
        <v>393</v>
      </c>
      <c r="D57" s="25" t="str">
        <f aca="false">IFERROR(INDEX(Equipements!$B$6:$B$200,MATCH($B57,Equipements!$A$6:$A$200,0)),"?")</f>
        <v>Buanderie</v>
      </c>
      <c r="E57" s="26" t="s">
        <v>1208</v>
      </c>
      <c r="F57" s="24" t="s">
        <v>927</v>
      </c>
      <c r="G57" s="24" t="n">
        <v>1</v>
      </c>
      <c r="H57" s="25" t="s">
        <v>928</v>
      </c>
      <c r="I57" s="25" t="s">
        <v>929</v>
      </c>
      <c r="J57" s="24" t="n">
        <v>20</v>
      </c>
      <c r="K57" s="25" t="s">
        <v>1209</v>
      </c>
      <c r="L57" s="25" t="s">
        <v>1210</v>
      </c>
      <c r="M57" s="25" t="s">
        <v>1211</v>
      </c>
      <c r="N57" s="24" t="s">
        <v>192</v>
      </c>
      <c r="O57" s="24" t="s">
        <v>56</v>
      </c>
      <c r="P57" s="23" t="s">
        <v>940</v>
      </c>
      <c r="Q57" s="24" t="n">
        <v>20</v>
      </c>
    </row>
    <row r="58" customFormat="false" ht="23.85" hidden="false" customHeight="false" outlineLevel="0" collapsed="false">
      <c r="A58" s="23" t="s">
        <v>1212</v>
      </c>
      <c r="B58" s="24" t="s">
        <v>392</v>
      </c>
      <c r="C58" s="25" t="s">
        <v>393</v>
      </c>
      <c r="D58" s="25" t="str">
        <f aca="false">IFERROR(INDEX(Equipements!$B$6:$B$200,MATCH($B58,Equipements!$A$6:$A$200,0)),"?")</f>
        <v>Buanderie</v>
      </c>
      <c r="E58" s="26" t="s">
        <v>1213</v>
      </c>
      <c r="F58" s="24" t="s">
        <v>927</v>
      </c>
      <c r="G58" s="24" t="n">
        <v>3</v>
      </c>
      <c r="H58" s="25" t="s">
        <v>1214</v>
      </c>
      <c r="I58" s="25" t="s">
        <v>929</v>
      </c>
      <c r="J58" s="24" t="n">
        <v>15</v>
      </c>
      <c r="K58" s="25" t="s">
        <v>1099</v>
      </c>
      <c r="L58" s="25" t="s">
        <v>1215</v>
      </c>
      <c r="M58" s="25" t="s">
        <v>1216</v>
      </c>
      <c r="N58" s="24" t="s">
        <v>192</v>
      </c>
      <c r="O58" s="24" t="s">
        <v>56</v>
      </c>
      <c r="P58" s="23" t="s">
        <v>933</v>
      </c>
      <c r="Q58" s="24" t="n">
        <v>15</v>
      </c>
    </row>
    <row r="59" customFormat="false" ht="23.85" hidden="false" customHeight="false" outlineLevel="0" collapsed="false">
      <c r="A59" s="23" t="s">
        <v>1217</v>
      </c>
      <c r="B59" s="24" t="s">
        <v>398</v>
      </c>
      <c r="C59" s="25" t="s">
        <v>399</v>
      </c>
      <c r="D59" s="25" t="str">
        <f aca="false">IFERROR(INDEX(Equipements!$B$6:$B$200,MATCH($B59,Equipements!$A$6:$A$200,0)),"?")</f>
        <v>Cuisine</v>
      </c>
      <c r="E59" s="26" t="s">
        <v>1218</v>
      </c>
      <c r="F59" s="24" t="s">
        <v>927</v>
      </c>
      <c r="G59" s="24" t="n">
        <v>1</v>
      </c>
      <c r="H59" s="25" t="s">
        <v>928</v>
      </c>
      <c r="I59" s="25" t="s">
        <v>929</v>
      </c>
      <c r="J59" s="24" t="n">
        <v>10</v>
      </c>
      <c r="K59" s="25" t="s">
        <v>1219</v>
      </c>
      <c r="L59" s="25" t="s">
        <v>1220</v>
      </c>
      <c r="M59" s="25" t="s">
        <v>1221</v>
      </c>
      <c r="N59" s="24" t="s">
        <v>192</v>
      </c>
      <c r="O59" s="24" t="s">
        <v>56</v>
      </c>
      <c r="P59" s="23" t="s">
        <v>933</v>
      </c>
      <c r="Q59" s="24" t="n">
        <v>10</v>
      </c>
    </row>
    <row r="60" customFormat="false" ht="23.85" hidden="false" customHeight="false" outlineLevel="0" collapsed="false">
      <c r="A60" s="23" t="s">
        <v>1222</v>
      </c>
      <c r="B60" s="24" t="s">
        <v>398</v>
      </c>
      <c r="C60" s="25" t="s">
        <v>399</v>
      </c>
      <c r="D60" s="25" t="str">
        <f aca="false">IFERROR(INDEX(Equipements!$B$6:$B$200,MATCH($B60,Equipements!$A$6:$A$200,0)),"?")</f>
        <v>Cuisine</v>
      </c>
      <c r="E60" s="26" t="s">
        <v>1223</v>
      </c>
      <c r="F60" s="24" t="s">
        <v>927</v>
      </c>
      <c r="G60" s="24" t="n">
        <v>3</v>
      </c>
      <c r="H60" s="25" t="s">
        <v>1098</v>
      </c>
      <c r="I60" s="25" t="s">
        <v>929</v>
      </c>
      <c r="J60" s="24" t="n">
        <v>15</v>
      </c>
      <c r="K60" s="25" t="s">
        <v>1224</v>
      </c>
      <c r="L60" s="25" t="s">
        <v>1225</v>
      </c>
      <c r="M60" s="25" t="s">
        <v>1226</v>
      </c>
      <c r="N60" s="24" t="s">
        <v>192</v>
      </c>
      <c r="O60" s="24" t="s">
        <v>56</v>
      </c>
      <c r="P60" s="23" t="s">
        <v>940</v>
      </c>
      <c r="Q60" s="24" t="n">
        <v>15</v>
      </c>
    </row>
    <row r="61" customFormat="false" ht="23.85" hidden="false" customHeight="false" outlineLevel="0" collapsed="false">
      <c r="A61" s="23" t="s">
        <v>1227</v>
      </c>
      <c r="B61" s="24" t="s">
        <v>398</v>
      </c>
      <c r="C61" s="25" t="s">
        <v>399</v>
      </c>
      <c r="D61" s="25" t="str">
        <f aca="false">IFERROR(INDEX(Equipements!$B$6:$B$200,MATCH($B61,Equipements!$A$6:$A$200,0)),"?")</f>
        <v>Cuisine</v>
      </c>
      <c r="E61" s="26" t="s">
        <v>1228</v>
      </c>
      <c r="F61" s="24" t="s">
        <v>927</v>
      </c>
      <c r="G61" s="24" t="n">
        <v>2</v>
      </c>
      <c r="H61" s="25" t="s">
        <v>1229</v>
      </c>
      <c r="I61" s="25" t="s">
        <v>929</v>
      </c>
      <c r="J61" s="24" t="n">
        <v>5</v>
      </c>
      <c r="K61" s="25" t="s">
        <v>1230</v>
      </c>
      <c r="L61" s="25" t="s">
        <v>1231</v>
      </c>
      <c r="M61" s="25" t="s">
        <v>1232</v>
      </c>
      <c r="N61" s="24" t="s">
        <v>192</v>
      </c>
      <c r="O61" s="24" t="s">
        <v>56</v>
      </c>
      <c r="P61" s="23" t="s">
        <v>940</v>
      </c>
      <c r="Q61" s="24" t="n">
        <v>5</v>
      </c>
    </row>
    <row r="62" customFormat="false" ht="23.85" hidden="false" customHeight="false" outlineLevel="0" collapsed="false">
      <c r="A62" s="23" t="s">
        <v>1233</v>
      </c>
      <c r="B62" s="24" t="s">
        <v>398</v>
      </c>
      <c r="C62" s="25" t="s">
        <v>399</v>
      </c>
      <c r="D62" s="25" t="str">
        <f aca="false">IFERROR(INDEX(Equipements!$B$6:$B$200,MATCH($B62,Equipements!$A$6:$A$200,0)),"?")</f>
        <v>Cuisine</v>
      </c>
      <c r="E62" s="26" t="s">
        <v>1192</v>
      </c>
      <c r="F62" s="24" t="s">
        <v>927</v>
      </c>
      <c r="G62" s="24" t="n">
        <v>6</v>
      </c>
      <c r="H62" s="25" t="s">
        <v>711</v>
      </c>
      <c r="I62" s="25" t="s">
        <v>929</v>
      </c>
      <c r="J62" s="24" t="n">
        <v>90</v>
      </c>
      <c r="K62" s="25" t="s">
        <v>1234</v>
      </c>
      <c r="L62" s="25" t="s">
        <v>1235</v>
      </c>
      <c r="M62" s="25" t="s">
        <v>1236</v>
      </c>
      <c r="N62" s="24" t="s">
        <v>192</v>
      </c>
      <c r="O62" s="24" t="s">
        <v>56</v>
      </c>
      <c r="P62" s="23" t="s">
        <v>940</v>
      </c>
      <c r="Q62" s="24" t="n">
        <v>5</v>
      </c>
    </row>
    <row r="63" customFormat="false" ht="23.85" hidden="false" customHeight="false" outlineLevel="0" collapsed="false">
      <c r="A63" s="23" t="s">
        <v>1237</v>
      </c>
      <c r="B63" s="24" t="s">
        <v>410</v>
      </c>
      <c r="C63" s="25" t="s">
        <v>412</v>
      </c>
      <c r="D63" s="25" t="str">
        <f aca="false">IFERROR(INDEX(Equipements!$B$6:$B$200,MATCH($B63,Equipements!$A$6:$A$200,0)),"?")</f>
        <v>Cuisine</v>
      </c>
      <c r="E63" s="26" t="s">
        <v>1238</v>
      </c>
      <c r="F63" s="24" t="s">
        <v>927</v>
      </c>
      <c r="G63" s="24" t="n">
        <v>3</v>
      </c>
      <c r="H63" s="25" t="s">
        <v>1098</v>
      </c>
      <c r="I63" s="25" t="s">
        <v>929</v>
      </c>
      <c r="J63" s="24" t="n">
        <v>150</v>
      </c>
      <c r="K63" s="25" t="s">
        <v>1239</v>
      </c>
      <c r="L63" s="25" t="s">
        <v>1240</v>
      </c>
      <c r="M63" s="25" t="s">
        <v>1241</v>
      </c>
      <c r="N63" s="24" t="s">
        <v>192</v>
      </c>
      <c r="O63" s="24" t="s">
        <v>56</v>
      </c>
      <c r="P63" s="23" t="s">
        <v>940</v>
      </c>
      <c r="Q63" s="24" t="n">
        <v>5</v>
      </c>
    </row>
    <row r="64" customFormat="false" ht="23.85" hidden="false" customHeight="false" outlineLevel="0" collapsed="false">
      <c r="A64" s="23" t="s">
        <v>1242</v>
      </c>
      <c r="B64" s="24" t="s">
        <v>410</v>
      </c>
      <c r="C64" s="25" t="s">
        <v>412</v>
      </c>
      <c r="D64" s="25" t="str">
        <f aca="false">IFERROR(INDEX(Equipements!$B$6:$B$200,MATCH($B64,Equipements!$A$6:$A$200,0)),"?")</f>
        <v>Cuisine</v>
      </c>
      <c r="E64" s="26" t="s">
        <v>1243</v>
      </c>
      <c r="F64" s="24" t="s">
        <v>927</v>
      </c>
      <c r="G64" s="24" t="n">
        <v>12</v>
      </c>
      <c r="H64" s="25" t="s">
        <v>1027</v>
      </c>
      <c r="I64" s="25" t="s">
        <v>929</v>
      </c>
      <c r="J64" s="24" t="n">
        <v>5</v>
      </c>
      <c r="K64" s="25" t="s">
        <v>1029</v>
      </c>
      <c r="L64" s="25" t="s">
        <v>1244</v>
      </c>
      <c r="M64" s="25" t="s">
        <v>1245</v>
      </c>
      <c r="N64" s="24" t="s">
        <v>192</v>
      </c>
      <c r="O64" s="24" t="s">
        <v>56</v>
      </c>
      <c r="P64" s="23" t="s">
        <v>940</v>
      </c>
      <c r="Q64" s="24" t="n">
        <v>5</v>
      </c>
    </row>
    <row r="65" customFormat="false" ht="35.05" hidden="false" customHeight="false" outlineLevel="0" collapsed="false">
      <c r="A65" s="17" t="s">
        <v>1246</v>
      </c>
      <c r="B65" s="16" t="s">
        <v>430</v>
      </c>
      <c r="C65" s="19" t="s">
        <v>431</v>
      </c>
      <c r="D65" s="19" t="str">
        <f aca="false">IFERROR(INDEX(Equipements!$B$6:$B$200,MATCH($B65,Equipements!$A$6:$A$200,0)),"?")</f>
        <v>Cuisine</v>
      </c>
      <c r="E65" s="18" t="s">
        <v>1247</v>
      </c>
      <c r="F65" s="16" t="s">
        <v>927</v>
      </c>
      <c r="G65" s="16" t="n">
        <v>12</v>
      </c>
      <c r="H65" s="19" t="s">
        <v>1027</v>
      </c>
      <c r="I65" s="19" t="s">
        <v>929</v>
      </c>
      <c r="J65" s="16" t="n">
        <v>3</v>
      </c>
      <c r="K65" s="19" t="s">
        <v>1029</v>
      </c>
      <c r="L65" s="19" t="s">
        <v>1248</v>
      </c>
      <c r="M65" s="19" t="s">
        <v>1249</v>
      </c>
      <c r="N65" s="17" t="s">
        <v>97</v>
      </c>
      <c r="O65" s="16" t="s">
        <v>56</v>
      </c>
      <c r="P65" s="17" t="s">
        <v>924</v>
      </c>
      <c r="Q65" s="16" t="n">
        <v>3</v>
      </c>
    </row>
    <row r="66" customFormat="false" ht="23.85" hidden="false" customHeight="false" outlineLevel="0" collapsed="false">
      <c r="A66" s="23" t="s">
        <v>1250</v>
      </c>
      <c r="B66" s="24" t="s">
        <v>423</v>
      </c>
      <c r="C66" s="25" t="s">
        <v>424</v>
      </c>
      <c r="D66" s="25" t="str">
        <f aca="false">IFERROR(INDEX(Equipements!$B$6:$B$200,MATCH($B66,Equipements!$A$6:$A$200,0)),"?")</f>
        <v>Cuisine</v>
      </c>
      <c r="E66" s="26" t="s">
        <v>1251</v>
      </c>
      <c r="F66" s="24" t="s">
        <v>927</v>
      </c>
      <c r="G66" s="24" t="n">
        <v>12</v>
      </c>
      <c r="H66" s="25" t="s">
        <v>1027</v>
      </c>
      <c r="I66" s="25" t="s">
        <v>929</v>
      </c>
      <c r="J66" s="24" t="n">
        <v>30</v>
      </c>
      <c r="K66" s="25" t="s">
        <v>1252</v>
      </c>
      <c r="L66" s="25" t="s">
        <v>1253</v>
      </c>
      <c r="M66" s="25" t="s">
        <v>1254</v>
      </c>
      <c r="N66" s="24" t="s">
        <v>192</v>
      </c>
      <c r="O66" s="24" t="s">
        <v>56</v>
      </c>
      <c r="P66" s="23" t="s">
        <v>933</v>
      </c>
      <c r="Q66" s="24" t="n">
        <v>30</v>
      </c>
    </row>
    <row r="67" customFormat="false" ht="23.85" hidden="false" customHeight="false" outlineLevel="0" collapsed="false">
      <c r="A67" s="23" t="s">
        <v>1255</v>
      </c>
      <c r="B67" s="24" t="s">
        <v>448</v>
      </c>
      <c r="C67" s="25" t="s">
        <v>449</v>
      </c>
      <c r="D67" s="25" t="str">
        <f aca="false">IFERROR(INDEX(Equipements!$B$6:$B$200,MATCH($B67,Equipements!$A$6:$A$200,0)),"?")</f>
        <v>Cuisine</v>
      </c>
      <c r="E67" s="26" t="s">
        <v>1256</v>
      </c>
      <c r="F67" s="24" t="s">
        <v>927</v>
      </c>
      <c r="G67" s="24" t="n">
        <v>2</v>
      </c>
      <c r="H67" s="25" t="s">
        <v>1257</v>
      </c>
      <c r="I67" s="25" t="s">
        <v>929</v>
      </c>
      <c r="J67" s="24" t="n">
        <v>30</v>
      </c>
      <c r="K67" s="25" t="s">
        <v>1258</v>
      </c>
      <c r="L67" s="25" t="s">
        <v>1259</v>
      </c>
      <c r="M67" s="25" t="s">
        <v>1260</v>
      </c>
      <c r="N67" s="24" t="s">
        <v>192</v>
      </c>
      <c r="O67" s="24" t="s">
        <v>56</v>
      </c>
      <c r="P67" s="23" t="s">
        <v>933</v>
      </c>
      <c r="Q67" s="24" t="n">
        <v>10</v>
      </c>
    </row>
    <row r="68" customFormat="false" ht="23.85" hidden="false" customHeight="false" outlineLevel="0" collapsed="false">
      <c r="A68" s="23" t="s">
        <v>1261</v>
      </c>
      <c r="B68" s="24" t="s">
        <v>448</v>
      </c>
      <c r="C68" s="25" t="s">
        <v>449</v>
      </c>
      <c r="D68" s="25" t="str">
        <f aca="false">IFERROR(INDEX(Equipements!$B$6:$B$200,MATCH($B68,Equipements!$A$6:$A$200,0)),"?")</f>
        <v>Cuisine</v>
      </c>
      <c r="E68" s="26" t="s">
        <v>1262</v>
      </c>
      <c r="F68" s="24" t="s">
        <v>927</v>
      </c>
      <c r="G68" s="24" t="n">
        <v>0.25</v>
      </c>
      <c r="H68" s="25" t="s">
        <v>1263</v>
      </c>
      <c r="I68" s="25" t="s">
        <v>929</v>
      </c>
      <c r="J68" s="24" t="n">
        <v>15</v>
      </c>
      <c r="K68" s="25" t="s">
        <v>1264</v>
      </c>
      <c r="L68" s="25" t="s">
        <v>1265</v>
      </c>
      <c r="M68" s="25" t="s">
        <v>1266</v>
      </c>
      <c r="N68" s="24" t="s">
        <v>192</v>
      </c>
      <c r="O68" s="24" t="s">
        <v>56</v>
      </c>
      <c r="P68" s="23" t="s">
        <v>940</v>
      </c>
      <c r="Q68" s="24" t="n">
        <v>15</v>
      </c>
    </row>
    <row r="69" customFormat="false" ht="23.85" hidden="false" customHeight="false" outlineLevel="0" collapsed="false">
      <c r="A69" s="23" t="s">
        <v>1267</v>
      </c>
      <c r="B69" s="24" t="s">
        <v>455</v>
      </c>
      <c r="C69" s="25" t="s">
        <v>456</v>
      </c>
      <c r="D69" s="25" t="str">
        <f aca="false">IFERROR(INDEX(Equipements!$B$6:$B$200,MATCH($B69,Equipements!$A$6:$A$200,0)),"?")</f>
        <v>Petit electromenager</v>
      </c>
      <c r="E69" s="26" t="s">
        <v>1268</v>
      </c>
      <c r="F69" s="24" t="s">
        <v>927</v>
      </c>
      <c r="G69" s="24" t="n">
        <v>6</v>
      </c>
      <c r="H69" s="25" t="s">
        <v>711</v>
      </c>
      <c r="I69" s="25" t="s">
        <v>929</v>
      </c>
      <c r="J69" s="24" t="n">
        <v>10</v>
      </c>
      <c r="K69" s="25" t="s">
        <v>1269</v>
      </c>
      <c r="L69" s="25" t="s">
        <v>1270</v>
      </c>
      <c r="M69" s="25" t="s">
        <v>1271</v>
      </c>
      <c r="N69" s="24" t="s">
        <v>192</v>
      </c>
      <c r="O69" s="24" t="s">
        <v>56</v>
      </c>
      <c r="P69" s="23" t="s">
        <v>940</v>
      </c>
      <c r="Q69" s="24" t="n">
        <v>10</v>
      </c>
    </row>
    <row r="70" customFormat="false" ht="23.85" hidden="false" customHeight="false" outlineLevel="0" collapsed="false">
      <c r="A70" s="23" t="s">
        <v>1272</v>
      </c>
      <c r="B70" s="24" t="s">
        <v>462</v>
      </c>
      <c r="C70" s="25" t="s">
        <v>463</v>
      </c>
      <c r="D70" s="25" t="str">
        <f aca="false">IFERROR(INDEX(Equipements!$B$6:$B$200,MATCH($B70,Equipements!$A$6:$A$200,0)),"?")</f>
        <v>Petit electromenager</v>
      </c>
      <c r="E70" s="26" t="s">
        <v>1273</v>
      </c>
      <c r="F70" s="24" t="s">
        <v>927</v>
      </c>
      <c r="G70" s="24" t="n">
        <v>1</v>
      </c>
      <c r="H70" s="25" t="s">
        <v>928</v>
      </c>
      <c r="I70" s="25" t="s">
        <v>929</v>
      </c>
      <c r="J70" s="24" t="n">
        <v>15</v>
      </c>
      <c r="K70" s="25" t="s">
        <v>1274</v>
      </c>
      <c r="L70" s="25" t="s">
        <v>1275</v>
      </c>
      <c r="M70" s="25" t="s">
        <v>1276</v>
      </c>
      <c r="N70" s="24" t="s">
        <v>192</v>
      </c>
      <c r="O70" s="24" t="s">
        <v>56</v>
      </c>
      <c r="P70" s="23" t="s">
        <v>940</v>
      </c>
      <c r="Q70" s="24" t="n">
        <v>15</v>
      </c>
    </row>
    <row r="71" customFormat="false" ht="15" hidden="false" customHeight="false" outlineLevel="0" collapsed="false">
      <c r="A71" s="23" t="s">
        <v>1277</v>
      </c>
      <c r="B71" s="24" t="s">
        <v>491</v>
      </c>
      <c r="C71" s="25" t="s">
        <v>493</v>
      </c>
      <c r="D71" s="25" t="str">
        <f aca="false">IFERROR(INDEX(Equipements!$B$6:$B$200,MATCH($B71,Equipements!$A$6:$A$200,0)),"?")</f>
        <v>Maison &amp; securite</v>
      </c>
      <c r="E71" s="26" t="s">
        <v>1278</v>
      </c>
      <c r="F71" s="24" t="s">
        <v>927</v>
      </c>
      <c r="G71" s="24" t="n">
        <v>6</v>
      </c>
      <c r="H71" s="25" t="s">
        <v>711</v>
      </c>
      <c r="I71" s="25" t="s">
        <v>929</v>
      </c>
      <c r="J71" s="24" t="n">
        <v>20</v>
      </c>
      <c r="K71" s="25" t="s">
        <v>1279</v>
      </c>
      <c r="L71" s="25" t="s">
        <v>1280</v>
      </c>
      <c r="M71" s="25" t="s">
        <v>1281</v>
      </c>
      <c r="N71" s="24" t="s">
        <v>192</v>
      </c>
      <c r="O71" s="24" t="s">
        <v>56</v>
      </c>
      <c r="P71" s="23" t="s">
        <v>940</v>
      </c>
      <c r="Q71" s="24" t="n">
        <v>5</v>
      </c>
    </row>
    <row r="72" customFormat="false" ht="35.05" hidden="false" customHeight="false" outlineLevel="0" collapsed="false">
      <c r="A72" s="23" t="s">
        <v>1282</v>
      </c>
      <c r="B72" s="24" t="s">
        <v>491</v>
      </c>
      <c r="C72" s="25" t="s">
        <v>493</v>
      </c>
      <c r="D72" s="25" t="str">
        <f aca="false">IFERROR(INDEX(Equipements!$B$6:$B$200,MATCH($B72,Equipements!$A$6:$A$200,0)),"?")</f>
        <v>Maison &amp; securite</v>
      </c>
      <c r="E72" s="26" t="s">
        <v>1283</v>
      </c>
      <c r="F72" s="24" t="s">
        <v>927</v>
      </c>
      <c r="G72" s="24" t="n">
        <v>12</v>
      </c>
      <c r="H72" s="25" t="s">
        <v>1027</v>
      </c>
      <c r="I72" s="25" t="s">
        <v>929</v>
      </c>
      <c r="J72" s="24" t="n">
        <v>15</v>
      </c>
      <c r="K72" s="25" t="s">
        <v>1029</v>
      </c>
      <c r="L72" s="25" t="s">
        <v>1284</v>
      </c>
      <c r="M72" s="25" t="s">
        <v>1285</v>
      </c>
      <c r="N72" s="24" t="s">
        <v>192</v>
      </c>
      <c r="O72" s="24" t="s">
        <v>56</v>
      </c>
      <c r="P72" s="23" t="s">
        <v>940</v>
      </c>
      <c r="Q72" s="24" t="n">
        <v>15</v>
      </c>
    </row>
    <row r="73" customFormat="false" ht="23.85" hidden="false" customHeight="false" outlineLevel="0" collapsed="false">
      <c r="A73" s="13" t="s">
        <v>1286</v>
      </c>
      <c r="B73" s="27" t="s">
        <v>504</v>
      </c>
      <c r="C73" s="28" t="s">
        <v>505</v>
      </c>
      <c r="D73" s="28" t="str">
        <f aca="false">IFERROR(INDEX(Equipements!$B$6:$B$200,MATCH($B73,Equipements!$A$6:$A$200,0)),"?")</f>
        <v>Maison &amp; securite</v>
      </c>
      <c r="E73" s="12" t="s">
        <v>1287</v>
      </c>
      <c r="F73" s="27" t="s">
        <v>202</v>
      </c>
      <c r="G73" s="27" t="n">
        <v>12</v>
      </c>
      <c r="H73" s="28" t="s">
        <v>1027</v>
      </c>
      <c r="I73" s="28" t="s">
        <v>1040</v>
      </c>
      <c r="J73" s="27" t="n">
        <v>30</v>
      </c>
      <c r="K73" s="28" t="s">
        <v>1288</v>
      </c>
      <c r="L73" s="28" t="s">
        <v>1289</v>
      </c>
      <c r="M73" s="28" t="s">
        <v>1290</v>
      </c>
      <c r="N73" s="27" t="s">
        <v>225</v>
      </c>
      <c r="O73" s="27" t="s">
        <v>58</v>
      </c>
      <c r="P73" s="13" t="s">
        <v>933</v>
      </c>
      <c r="Q73" s="27" t="n">
        <v>0</v>
      </c>
    </row>
    <row r="74" customFormat="false" ht="23.85" hidden="false" customHeight="false" outlineLevel="0" collapsed="false">
      <c r="A74" s="23" t="s">
        <v>1291</v>
      </c>
      <c r="B74" s="24" t="s">
        <v>528</v>
      </c>
      <c r="C74" s="25" t="s">
        <v>529</v>
      </c>
      <c r="D74" s="25" t="str">
        <f aca="false">IFERROR(INDEX(Equipements!$B$6:$B$200,MATCH($B74,Equipements!$A$6:$A$200,0)),"?")</f>
        <v>Maison &amp; securite</v>
      </c>
      <c r="E74" s="26" t="s">
        <v>1292</v>
      </c>
      <c r="F74" s="24" t="s">
        <v>927</v>
      </c>
      <c r="G74" s="24" t="n">
        <v>6</v>
      </c>
      <c r="H74" s="25" t="s">
        <v>1293</v>
      </c>
      <c r="I74" s="25" t="s">
        <v>1021</v>
      </c>
      <c r="J74" s="24" t="n">
        <v>45</v>
      </c>
      <c r="K74" s="25" t="s">
        <v>1294</v>
      </c>
      <c r="L74" s="25" t="s">
        <v>1295</v>
      </c>
      <c r="M74" s="25" t="s">
        <v>1296</v>
      </c>
      <c r="N74" s="24" t="s">
        <v>225</v>
      </c>
      <c r="O74" s="24" t="s">
        <v>56</v>
      </c>
      <c r="P74" s="23" t="s">
        <v>940</v>
      </c>
      <c r="Q74" s="24" t="n">
        <v>45</v>
      </c>
    </row>
    <row r="75" customFormat="false" ht="23.85" hidden="false" customHeight="false" outlineLevel="0" collapsed="false">
      <c r="A75" s="23" t="s">
        <v>1297</v>
      </c>
      <c r="B75" s="24" t="s">
        <v>511</v>
      </c>
      <c r="C75" s="25" t="s">
        <v>512</v>
      </c>
      <c r="D75" s="25" t="str">
        <f aca="false">IFERROR(INDEX(Equipements!$B$6:$B$200,MATCH($B75,Equipements!$A$6:$A$200,0)),"?")</f>
        <v>Maison &amp; securite</v>
      </c>
      <c r="E75" s="26" t="s">
        <v>1298</v>
      </c>
      <c r="F75" s="24" t="s">
        <v>927</v>
      </c>
      <c r="G75" s="24" t="n">
        <v>12</v>
      </c>
      <c r="H75" s="25" t="s">
        <v>1027</v>
      </c>
      <c r="I75" s="25" t="s">
        <v>1040</v>
      </c>
      <c r="J75" s="24" t="n">
        <v>20</v>
      </c>
      <c r="K75" s="25" t="s">
        <v>1299</v>
      </c>
      <c r="L75" s="25" t="s">
        <v>1300</v>
      </c>
      <c r="M75" s="25" t="s">
        <v>1301</v>
      </c>
      <c r="N75" s="24" t="s">
        <v>192</v>
      </c>
      <c r="O75" s="24" t="s">
        <v>56</v>
      </c>
      <c r="P75" s="23" t="s">
        <v>933</v>
      </c>
      <c r="Q75" s="24" t="n">
        <v>20</v>
      </c>
    </row>
    <row r="76" customFormat="false" ht="35.05" hidden="false" customHeight="false" outlineLevel="0" collapsed="false">
      <c r="A76" s="17" t="s">
        <v>1302</v>
      </c>
      <c r="B76" s="16" t="s">
        <v>550</v>
      </c>
      <c r="C76" s="19" t="s">
        <v>552</v>
      </c>
      <c r="D76" s="19" t="str">
        <f aca="false">IFERROR(INDEX(Equipements!$B$6:$B$200,MATCH($B76,Equipements!$A$6:$A$200,0)),"?")</f>
        <v>Maison &amp; securite</v>
      </c>
      <c r="E76" s="18" t="s">
        <v>1303</v>
      </c>
      <c r="F76" s="16" t="s">
        <v>202</v>
      </c>
      <c r="G76" s="16" t="n">
        <v>48</v>
      </c>
      <c r="H76" s="19" t="s">
        <v>1304</v>
      </c>
      <c r="I76" s="19" t="s">
        <v>1305</v>
      </c>
      <c r="J76" s="16" t="n">
        <v>120</v>
      </c>
      <c r="K76" s="19" t="s">
        <v>1306</v>
      </c>
      <c r="L76" s="19" t="s">
        <v>1307</v>
      </c>
      <c r="M76" s="19" t="s">
        <v>1308</v>
      </c>
      <c r="N76" s="17" t="s">
        <v>97</v>
      </c>
      <c r="O76" s="16" t="s">
        <v>56</v>
      </c>
      <c r="P76" s="17" t="s">
        <v>924</v>
      </c>
      <c r="Q76" s="16" t="n">
        <v>0</v>
      </c>
    </row>
    <row r="77" customFormat="false" ht="23.85" hidden="false" customHeight="false" outlineLevel="0" collapsed="false">
      <c r="A77" s="17" t="s">
        <v>1309</v>
      </c>
      <c r="B77" s="16" t="s">
        <v>550</v>
      </c>
      <c r="C77" s="19" t="s">
        <v>552</v>
      </c>
      <c r="D77" s="19" t="str">
        <f aca="false">IFERROR(INDEX(Equipements!$B$6:$B$200,MATCH($B77,Equipements!$A$6:$A$200,0)),"?")</f>
        <v>Maison &amp; securite</v>
      </c>
      <c r="E77" s="18" t="s">
        <v>1310</v>
      </c>
      <c r="F77" s="16" t="s">
        <v>927</v>
      </c>
      <c r="G77" s="16" t="n">
        <v>120</v>
      </c>
      <c r="H77" s="19" t="s">
        <v>1311</v>
      </c>
      <c r="I77" s="19" t="s">
        <v>1312</v>
      </c>
      <c r="J77" s="16" t="n">
        <v>60</v>
      </c>
      <c r="K77" s="19" t="s">
        <v>1313</v>
      </c>
      <c r="L77" s="19" t="s">
        <v>1314</v>
      </c>
      <c r="M77" s="19" t="s">
        <v>1315</v>
      </c>
      <c r="N77" s="17" t="s">
        <v>97</v>
      </c>
      <c r="O77" s="16" t="s">
        <v>58</v>
      </c>
      <c r="P77" s="17" t="s">
        <v>924</v>
      </c>
      <c r="Q77" s="16" t="n">
        <v>60</v>
      </c>
    </row>
    <row r="78" customFormat="false" ht="23.85" hidden="false" customHeight="false" outlineLevel="0" collapsed="false">
      <c r="A78" s="23" t="s">
        <v>1316</v>
      </c>
      <c r="B78" s="24" t="s">
        <v>571</v>
      </c>
      <c r="C78" s="25" t="s">
        <v>572</v>
      </c>
      <c r="D78" s="25" t="str">
        <f aca="false">IFERROR(INDEX(Equipements!$B$6:$B$200,MATCH($B78,Equipements!$A$6:$A$200,0)),"?")</f>
        <v>Maison &amp; securite</v>
      </c>
      <c r="E78" s="26" t="s">
        <v>1317</v>
      </c>
      <c r="F78" s="24" t="s">
        <v>927</v>
      </c>
      <c r="G78" s="24" t="n">
        <v>6</v>
      </c>
      <c r="H78" s="25" t="s">
        <v>711</v>
      </c>
      <c r="I78" s="25" t="s">
        <v>1021</v>
      </c>
      <c r="J78" s="24" t="n">
        <v>30</v>
      </c>
      <c r="K78" s="25" t="s">
        <v>1318</v>
      </c>
      <c r="L78" s="25" t="s">
        <v>1319</v>
      </c>
      <c r="M78" s="25" t="s">
        <v>1320</v>
      </c>
      <c r="N78" s="24" t="s">
        <v>192</v>
      </c>
      <c r="O78" s="24" t="s">
        <v>56</v>
      </c>
      <c r="P78" s="23" t="s">
        <v>933</v>
      </c>
      <c r="Q78" s="24" t="n">
        <v>30</v>
      </c>
    </row>
    <row r="79" customFormat="false" ht="23.85" hidden="false" customHeight="false" outlineLevel="0" collapsed="false">
      <c r="A79" s="23" t="s">
        <v>1321</v>
      </c>
      <c r="B79" s="24" t="s">
        <v>575</v>
      </c>
      <c r="C79" s="25" t="s">
        <v>576</v>
      </c>
      <c r="D79" s="25" t="str">
        <f aca="false">IFERROR(INDEX(Equipements!$B$6:$B$200,MATCH($B79,Equipements!$A$6:$A$200,0)),"?")</f>
        <v>Maison &amp; securite</v>
      </c>
      <c r="E79" s="26" t="s">
        <v>1322</v>
      </c>
      <c r="F79" s="24" t="s">
        <v>927</v>
      </c>
      <c r="G79" s="24" t="n">
        <v>6</v>
      </c>
      <c r="H79" s="25" t="s">
        <v>711</v>
      </c>
      <c r="I79" s="25" t="s">
        <v>1021</v>
      </c>
      <c r="J79" s="24" t="n">
        <v>30</v>
      </c>
      <c r="K79" s="25" t="s">
        <v>1323</v>
      </c>
      <c r="L79" s="25" t="s">
        <v>1324</v>
      </c>
      <c r="M79" s="25" t="s">
        <v>1325</v>
      </c>
      <c r="N79" s="24" t="s">
        <v>192</v>
      </c>
      <c r="O79" s="24" t="s">
        <v>56</v>
      </c>
      <c r="P79" s="23" t="s">
        <v>933</v>
      </c>
      <c r="Q79" s="24" t="n">
        <v>30</v>
      </c>
    </row>
    <row r="80" customFormat="false" ht="23.85" hidden="false" customHeight="false" outlineLevel="0" collapsed="false">
      <c r="A80" s="17" t="s">
        <v>1326</v>
      </c>
      <c r="B80" s="16" t="s">
        <v>561</v>
      </c>
      <c r="C80" s="19" t="s">
        <v>562</v>
      </c>
      <c r="D80" s="19" t="str">
        <f aca="false">IFERROR(INDEX(Equipements!$B$6:$B$200,MATCH($B80,Equipements!$A$6:$A$200,0)),"?")</f>
        <v>Maison &amp; securite</v>
      </c>
      <c r="E80" s="18" t="s">
        <v>1327</v>
      </c>
      <c r="F80" s="16" t="s">
        <v>202</v>
      </c>
      <c r="G80" s="16" t="n">
        <v>12</v>
      </c>
      <c r="H80" s="19" t="s">
        <v>1328</v>
      </c>
      <c r="I80" s="19" t="s">
        <v>929</v>
      </c>
      <c r="J80" s="16" t="n">
        <v>60</v>
      </c>
      <c r="K80" s="19" t="s">
        <v>1072</v>
      </c>
      <c r="L80" s="19" t="s">
        <v>1329</v>
      </c>
      <c r="M80" s="19" t="s">
        <v>1330</v>
      </c>
      <c r="N80" s="17" t="s">
        <v>97</v>
      </c>
      <c r="O80" s="16" t="s">
        <v>56</v>
      </c>
      <c r="P80" s="17" t="s">
        <v>924</v>
      </c>
      <c r="Q80" s="16" t="n">
        <v>0</v>
      </c>
    </row>
    <row r="81" customFormat="false" ht="35.05" hidden="false" customHeight="false" outlineLevel="0" collapsed="false">
      <c r="A81" s="23" t="s">
        <v>1331</v>
      </c>
      <c r="B81" s="24" t="s">
        <v>585</v>
      </c>
      <c r="C81" s="25" t="s">
        <v>586</v>
      </c>
      <c r="D81" s="25" t="str">
        <f aca="false">IFERROR(INDEX(Equipements!$B$6:$B$200,MATCH($B81,Equipements!$A$6:$A$200,0)),"?")</f>
        <v>Energie</v>
      </c>
      <c r="E81" s="26" t="s">
        <v>1332</v>
      </c>
      <c r="F81" s="24" t="s">
        <v>927</v>
      </c>
      <c r="G81" s="24" t="n">
        <v>6</v>
      </c>
      <c r="H81" s="25" t="s">
        <v>711</v>
      </c>
      <c r="I81" s="25" t="s">
        <v>1021</v>
      </c>
      <c r="J81" s="24" t="n">
        <v>15</v>
      </c>
      <c r="K81" s="25" t="s">
        <v>1333</v>
      </c>
      <c r="L81" s="25" t="s">
        <v>1334</v>
      </c>
      <c r="M81" s="25" t="s">
        <v>1335</v>
      </c>
      <c r="N81" s="24" t="s">
        <v>192</v>
      </c>
      <c r="O81" s="24" t="s">
        <v>56</v>
      </c>
      <c r="P81" s="23" t="s">
        <v>940</v>
      </c>
      <c r="Q81" s="24" t="n">
        <v>15</v>
      </c>
    </row>
    <row r="82" customFormat="false" ht="23.85" hidden="false" customHeight="false" outlineLevel="0" collapsed="false">
      <c r="A82" s="13" t="s">
        <v>1336</v>
      </c>
      <c r="B82" s="27" t="s">
        <v>585</v>
      </c>
      <c r="C82" s="28" t="s">
        <v>586</v>
      </c>
      <c r="D82" s="28" t="str">
        <f aca="false">IFERROR(INDEX(Equipements!$B$6:$B$200,MATCH($B82,Equipements!$A$6:$A$200,0)),"?")</f>
        <v>Energie</v>
      </c>
      <c r="E82" s="12" t="s">
        <v>1337</v>
      </c>
      <c r="F82" s="27" t="s">
        <v>202</v>
      </c>
      <c r="G82" s="27" t="n">
        <v>18</v>
      </c>
      <c r="H82" s="28" t="s">
        <v>1338</v>
      </c>
      <c r="I82" s="28" t="s">
        <v>1339</v>
      </c>
      <c r="J82" s="27" t="n">
        <v>90</v>
      </c>
      <c r="K82" s="28" t="s">
        <v>1340</v>
      </c>
      <c r="L82" s="28" t="s">
        <v>1341</v>
      </c>
      <c r="M82" s="28" t="s">
        <v>1342</v>
      </c>
      <c r="N82" s="27" t="s">
        <v>192</v>
      </c>
      <c r="O82" s="27" t="s">
        <v>60</v>
      </c>
      <c r="P82" s="13" t="s">
        <v>940</v>
      </c>
      <c r="Q82" s="27" t="n">
        <v>0</v>
      </c>
    </row>
    <row r="83" customFormat="false" ht="23.85" hidden="false" customHeight="false" outlineLevel="0" collapsed="false">
      <c r="A83" s="23" t="s">
        <v>1343</v>
      </c>
      <c r="B83" s="24" t="s">
        <v>592</v>
      </c>
      <c r="C83" s="25" t="s">
        <v>593</v>
      </c>
      <c r="D83" s="25" t="str">
        <f aca="false">IFERROR(INDEX(Equipements!$B$6:$B$200,MATCH($B83,Equipements!$A$6:$A$200,0)),"?")</f>
        <v>Energie</v>
      </c>
      <c r="E83" s="26" t="s">
        <v>1344</v>
      </c>
      <c r="F83" s="24" t="s">
        <v>927</v>
      </c>
      <c r="G83" s="24" t="n">
        <v>1</v>
      </c>
      <c r="H83" s="25" t="s">
        <v>928</v>
      </c>
      <c r="I83" s="25" t="s">
        <v>929</v>
      </c>
      <c r="J83" s="24" t="n">
        <v>10</v>
      </c>
      <c r="K83" s="25" t="s">
        <v>1345</v>
      </c>
      <c r="L83" s="25" t="s">
        <v>1346</v>
      </c>
      <c r="M83" s="25" t="s">
        <v>1347</v>
      </c>
      <c r="N83" s="24" t="s">
        <v>192</v>
      </c>
      <c r="O83" s="24" t="s">
        <v>56</v>
      </c>
      <c r="P83" s="23" t="s">
        <v>940</v>
      </c>
      <c r="Q83" s="24" t="n">
        <v>10</v>
      </c>
    </row>
    <row r="84" customFormat="false" ht="23.85" hidden="false" customHeight="false" outlineLevel="0" collapsed="false">
      <c r="A84" s="13" t="s">
        <v>1348</v>
      </c>
      <c r="B84" s="27" t="s">
        <v>605</v>
      </c>
      <c r="C84" s="28" t="s">
        <v>606</v>
      </c>
      <c r="D84" s="28" t="str">
        <f aca="false">IFERROR(INDEX(Equipements!$B$6:$B$200,MATCH($B84,Equipements!$A$6:$A$200,0)),"?")</f>
        <v>Energie</v>
      </c>
      <c r="E84" s="12" t="s">
        <v>1349</v>
      </c>
      <c r="F84" s="27" t="s">
        <v>202</v>
      </c>
      <c r="G84" s="27" t="n">
        <v>12</v>
      </c>
      <c r="H84" s="28" t="s">
        <v>1027</v>
      </c>
      <c r="I84" s="28" t="s">
        <v>929</v>
      </c>
      <c r="J84" s="27" t="n">
        <v>45</v>
      </c>
      <c r="K84" s="28" t="s">
        <v>1350</v>
      </c>
      <c r="L84" s="28" t="s">
        <v>1351</v>
      </c>
      <c r="M84" s="28" t="s">
        <v>1352</v>
      </c>
      <c r="N84" s="27" t="s">
        <v>192</v>
      </c>
      <c r="O84" s="27" t="s">
        <v>58</v>
      </c>
      <c r="P84" s="13" t="s">
        <v>933</v>
      </c>
      <c r="Q84" s="27" t="n">
        <v>0</v>
      </c>
    </row>
    <row r="85" customFormat="false" ht="35.05" hidden="false" customHeight="false" outlineLevel="0" collapsed="false">
      <c r="A85" s="23" t="s">
        <v>1353</v>
      </c>
      <c r="B85" s="24" t="s">
        <v>612</v>
      </c>
      <c r="C85" s="25" t="s">
        <v>613</v>
      </c>
      <c r="D85" s="25" t="str">
        <f aca="false">IFERROR(INDEX(Equipements!$B$6:$B$200,MATCH($B85,Equipements!$A$6:$A$200,0)),"?")</f>
        <v>Energie</v>
      </c>
      <c r="E85" s="26" t="s">
        <v>1354</v>
      </c>
      <c r="F85" s="24" t="s">
        <v>927</v>
      </c>
      <c r="G85" s="24" t="n">
        <v>1</v>
      </c>
      <c r="H85" s="25" t="s">
        <v>928</v>
      </c>
      <c r="I85" s="25" t="s">
        <v>929</v>
      </c>
      <c r="J85" s="24" t="n">
        <v>5</v>
      </c>
      <c r="K85" s="25" t="s">
        <v>1029</v>
      </c>
      <c r="L85" s="25" t="s">
        <v>1355</v>
      </c>
      <c r="M85" s="25" t="s">
        <v>1356</v>
      </c>
      <c r="N85" s="24" t="s">
        <v>192</v>
      </c>
      <c r="O85" s="24" t="s">
        <v>56</v>
      </c>
      <c r="P85" s="23" t="s">
        <v>933</v>
      </c>
      <c r="Q85" s="24" t="n">
        <v>5</v>
      </c>
    </row>
    <row r="86" customFormat="false" ht="23.85" hidden="false" customHeight="false" outlineLevel="0" collapsed="false">
      <c r="A86" s="23" t="s">
        <v>1357</v>
      </c>
      <c r="B86" s="24" t="s">
        <v>632</v>
      </c>
      <c r="C86" s="25" t="s">
        <v>633</v>
      </c>
      <c r="D86" s="25" t="str">
        <f aca="false">IFERROR(INDEX(Equipements!$B$6:$B$200,MATCH($B86,Equipements!$A$6:$A$200,0)),"?")</f>
        <v>Energie</v>
      </c>
      <c r="E86" s="26" t="s">
        <v>1358</v>
      </c>
      <c r="F86" s="24" t="s">
        <v>927</v>
      </c>
      <c r="G86" s="24" t="n">
        <v>1</v>
      </c>
      <c r="H86" s="25" t="s">
        <v>928</v>
      </c>
      <c r="I86" s="25" t="s">
        <v>929</v>
      </c>
      <c r="J86" s="24" t="n">
        <v>20</v>
      </c>
      <c r="K86" s="25" t="s">
        <v>1359</v>
      </c>
      <c r="L86" s="25" t="s">
        <v>1360</v>
      </c>
      <c r="M86" s="25" t="s">
        <v>1361</v>
      </c>
      <c r="N86" s="24" t="s">
        <v>192</v>
      </c>
      <c r="O86" s="24" t="s">
        <v>56</v>
      </c>
      <c r="P86" s="23" t="s">
        <v>940</v>
      </c>
      <c r="Q86" s="24" t="n">
        <v>20</v>
      </c>
    </row>
    <row r="87" customFormat="false" ht="23.85" hidden="false" customHeight="false" outlineLevel="0" collapsed="false">
      <c r="A87" s="17" t="s">
        <v>1362</v>
      </c>
      <c r="B87" s="16" t="s">
        <v>638</v>
      </c>
      <c r="C87" s="19" t="s">
        <v>640</v>
      </c>
      <c r="D87" s="19" t="str">
        <f aca="false">IFERROR(INDEX(Equipements!$B$6:$B$200,MATCH($B87,Equipements!$A$6:$A$200,0)),"?")</f>
        <v>Maison &amp; securite</v>
      </c>
      <c r="E87" s="18" t="s">
        <v>1363</v>
      </c>
      <c r="F87" s="16" t="s">
        <v>927</v>
      </c>
      <c r="G87" s="16" t="n">
        <v>1</v>
      </c>
      <c r="H87" s="19" t="s">
        <v>928</v>
      </c>
      <c r="I87" s="19" t="s">
        <v>929</v>
      </c>
      <c r="J87" s="16" t="n">
        <v>2</v>
      </c>
      <c r="K87" s="19" t="s">
        <v>1029</v>
      </c>
      <c r="L87" s="19" t="s">
        <v>1364</v>
      </c>
      <c r="M87" s="19" t="s">
        <v>1365</v>
      </c>
      <c r="N87" s="17" t="s">
        <v>97</v>
      </c>
      <c r="O87" s="16" t="s">
        <v>56</v>
      </c>
      <c r="P87" s="17" t="s">
        <v>924</v>
      </c>
      <c r="Q87" s="16" t="n">
        <v>2</v>
      </c>
    </row>
    <row r="88" customFormat="false" ht="46.25" hidden="false" customHeight="false" outlineLevel="0" collapsed="false">
      <c r="A88" s="17" t="s">
        <v>1366</v>
      </c>
      <c r="B88" s="16" t="s">
        <v>638</v>
      </c>
      <c r="C88" s="19" t="s">
        <v>640</v>
      </c>
      <c r="D88" s="19" t="str">
        <f aca="false">IFERROR(INDEX(Equipements!$B$6:$B$200,MATCH($B88,Equipements!$A$6:$A$200,0)),"?")</f>
        <v>Maison &amp; securite</v>
      </c>
      <c r="E88" s="18" t="s">
        <v>1367</v>
      </c>
      <c r="F88" s="16" t="s">
        <v>927</v>
      </c>
      <c r="G88" s="16" t="n">
        <v>120</v>
      </c>
      <c r="H88" s="19" t="s">
        <v>1368</v>
      </c>
      <c r="I88" s="19" t="s">
        <v>1369</v>
      </c>
      <c r="J88" s="16" t="n">
        <v>15</v>
      </c>
      <c r="K88" s="19" t="s">
        <v>1370</v>
      </c>
      <c r="L88" s="19" t="s">
        <v>1371</v>
      </c>
      <c r="M88" s="19" t="s">
        <v>1372</v>
      </c>
      <c r="N88" s="17" t="s">
        <v>97</v>
      </c>
      <c r="O88" s="16" t="s">
        <v>56</v>
      </c>
      <c r="P88" s="17" t="s">
        <v>924</v>
      </c>
      <c r="Q88" s="16" t="n">
        <v>15</v>
      </c>
    </row>
    <row r="89" customFormat="false" ht="23.85" hidden="false" customHeight="false" outlineLevel="0" collapsed="false">
      <c r="A89" s="23" t="s">
        <v>1373</v>
      </c>
      <c r="B89" s="24" t="s">
        <v>649</v>
      </c>
      <c r="C89" s="25" t="s">
        <v>650</v>
      </c>
      <c r="D89" s="25" t="str">
        <f aca="false">IFERROR(INDEX(Equipements!$B$6:$B$200,MATCH($B89,Equipements!$A$6:$A$200,0)),"?")</f>
        <v>Maison &amp; securite</v>
      </c>
      <c r="E89" s="26" t="s">
        <v>1374</v>
      </c>
      <c r="F89" s="24" t="s">
        <v>927</v>
      </c>
      <c r="G89" s="24" t="n">
        <v>1</v>
      </c>
      <c r="H89" s="25" t="s">
        <v>928</v>
      </c>
      <c r="I89" s="25" t="s">
        <v>929</v>
      </c>
      <c r="J89" s="24" t="n">
        <v>2</v>
      </c>
      <c r="K89" s="25" t="s">
        <v>1029</v>
      </c>
      <c r="L89" s="25" t="s">
        <v>1375</v>
      </c>
      <c r="M89" s="25" t="s">
        <v>1376</v>
      </c>
      <c r="N89" s="24" t="s">
        <v>192</v>
      </c>
      <c r="O89" s="24" t="s">
        <v>56</v>
      </c>
      <c r="P89" s="23" t="s">
        <v>933</v>
      </c>
      <c r="Q89" s="24" t="n">
        <v>2</v>
      </c>
    </row>
    <row r="90" customFormat="false" ht="23.85" hidden="false" customHeight="false" outlineLevel="0" collapsed="false">
      <c r="A90" s="23" t="s">
        <v>1377</v>
      </c>
      <c r="B90" s="24" t="s">
        <v>668</v>
      </c>
      <c r="C90" s="25" t="s">
        <v>669</v>
      </c>
      <c r="D90" s="25" t="str">
        <f aca="false">IFERROR(INDEX(Equipements!$B$6:$B$200,MATCH($B90,Equipements!$A$6:$A$200,0)),"?")</f>
        <v>Maison &amp; securite</v>
      </c>
      <c r="E90" s="26" t="s">
        <v>1378</v>
      </c>
      <c r="F90" s="24" t="s">
        <v>927</v>
      </c>
      <c r="G90" s="24" t="n">
        <v>12</v>
      </c>
      <c r="H90" s="25" t="s">
        <v>1379</v>
      </c>
      <c r="I90" s="25" t="s">
        <v>929</v>
      </c>
      <c r="J90" s="24" t="n">
        <v>30</v>
      </c>
      <c r="K90" s="25" t="s">
        <v>1380</v>
      </c>
      <c r="L90" s="25" t="s">
        <v>1381</v>
      </c>
      <c r="M90" s="25" t="s">
        <v>1382</v>
      </c>
      <c r="N90" s="24" t="s">
        <v>192</v>
      </c>
      <c r="O90" s="24" t="s">
        <v>56</v>
      </c>
      <c r="P90" s="23" t="s">
        <v>940</v>
      </c>
      <c r="Q90" s="24" t="n">
        <v>30</v>
      </c>
    </row>
    <row r="91" customFormat="false" ht="23.85" hidden="false" customHeight="false" outlineLevel="0" collapsed="false">
      <c r="A91" s="17" t="s">
        <v>1383</v>
      </c>
      <c r="B91" s="16" t="s">
        <v>685</v>
      </c>
      <c r="C91" s="19" t="s">
        <v>686</v>
      </c>
      <c r="D91" s="19" t="str">
        <f aca="false">IFERROR(INDEX(Equipements!$B$6:$B$200,MATCH($B91,Equipements!$A$6:$A$200,0)),"?")</f>
        <v>Maison &amp; securite</v>
      </c>
      <c r="E91" s="18" t="s">
        <v>1384</v>
      </c>
      <c r="F91" s="16" t="s">
        <v>202</v>
      </c>
      <c r="G91" s="16" t="n">
        <v>1.5</v>
      </c>
      <c r="H91" s="19" t="s">
        <v>1385</v>
      </c>
      <c r="I91" s="19" t="s">
        <v>929</v>
      </c>
      <c r="J91" s="16" t="n">
        <v>60</v>
      </c>
      <c r="K91" s="19" t="s">
        <v>1386</v>
      </c>
      <c r="L91" s="19" t="s">
        <v>1387</v>
      </c>
      <c r="M91" s="19" t="s">
        <v>692</v>
      </c>
      <c r="N91" s="17" t="s">
        <v>97</v>
      </c>
      <c r="O91" s="16" t="s">
        <v>56</v>
      </c>
      <c r="P91" s="17" t="s">
        <v>924</v>
      </c>
      <c r="Q91" s="16" t="n">
        <v>0</v>
      </c>
    </row>
    <row r="92" customFormat="false" ht="23.85" hidden="false" customHeight="false" outlineLevel="0" collapsed="false">
      <c r="A92" s="17" t="s">
        <v>1388</v>
      </c>
      <c r="B92" s="16" t="s">
        <v>685</v>
      </c>
      <c r="C92" s="19" t="s">
        <v>686</v>
      </c>
      <c r="D92" s="19" t="str">
        <f aca="false">IFERROR(INDEX(Equipements!$B$6:$B$200,MATCH($B92,Equipements!$A$6:$A$200,0)),"?")</f>
        <v>Maison &amp; securite</v>
      </c>
      <c r="E92" s="18" t="s">
        <v>1389</v>
      </c>
      <c r="F92" s="16" t="s">
        <v>202</v>
      </c>
      <c r="G92" s="16" t="n">
        <v>60</v>
      </c>
      <c r="H92" s="19" t="s">
        <v>1198</v>
      </c>
      <c r="I92" s="19" t="s">
        <v>1369</v>
      </c>
      <c r="J92" s="16" t="n">
        <v>180</v>
      </c>
      <c r="K92" s="19" t="s">
        <v>1390</v>
      </c>
      <c r="L92" s="19" t="s">
        <v>1391</v>
      </c>
      <c r="M92" s="19" t="s">
        <v>1392</v>
      </c>
      <c r="N92" s="17" t="s">
        <v>97</v>
      </c>
      <c r="O92" s="16" t="s">
        <v>58</v>
      </c>
      <c r="P92" s="17" t="s">
        <v>924</v>
      </c>
      <c r="Q92" s="16" t="n">
        <v>0</v>
      </c>
    </row>
    <row r="93" customFormat="false" ht="23.85" hidden="false" customHeight="false" outlineLevel="0" collapsed="false">
      <c r="A93" s="23" t="s">
        <v>1393</v>
      </c>
      <c r="B93" s="24" t="s">
        <v>696</v>
      </c>
      <c r="C93" s="25" t="s">
        <v>698</v>
      </c>
      <c r="D93" s="25" t="str">
        <f aca="false">IFERROR(INDEX(Equipements!$B$6:$B$200,MATCH($B93,Equipements!$A$6:$A$200,0)),"?")</f>
        <v>Maison &amp; securite</v>
      </c>
      <c r="E93" s="26" t="s">
        <v>1394</v>
      </c>
      <c r="F93" s="24" t="s">
        <v>927</v>
      </c>
      <c r="G93" s="24" t="n">
        <v>6</v>
      </c>
      <c r="H93" s="25" t="s">
        <v>711</v>
      </c>
      <c r="I93" s="25" t="s">
        <v>1021</v>
      </c>
      <c r="J93" s="24" t="n">
        <v>30</v>
      </c>
      <c r="K93" s="25" t="s">
        <v>1395</v>
      </c>
      <c r="L93" s="25" t="s">
        <v>1396</v>
      </c>
      <c r="M93" s="25" t="s">
        <v>1397</v>
      </c>
      <c r="N93" s="24" t="s">
        <v>192</v>
      </c>
      <c r="O93" s="24" t="s">
        <v>56</v>
      </c>
      <c r="P93" s="23" t="s">
        <v>933</v>
      </c>
      <c r="Q93" s="24" t="n">
        <v>30</v>
      </c>
    </row>
    <row r="94" customFormat="false" ht="23.85" hidden="false" customHeight="false" outlineLevel="0" collapsed="false">
      <c r="A94" s="23" t="s">
        <v>1398</v>
      </c>
      <c r="B94" s="24" t="s">
        <v>696</v>
      </c>
      <c r="C94" s="25" t="s">
        <v>698</v>
      </c>
      <c r="D94" s="25" t="str">
        <f aca="false">IFERROR(INDEX(Equipements!$B$6:$B$200,MATCH($B94,Equipements!$A$6:$A$200,0)),"?")</f>
        <v>Maison &amp; securite</v>
      </c>
      <c r="E94" s="26" t="s">
        <v>1399</v>
      </c>
      <c r="F94" s="24" t="s">
        <v>927</v>
      </c>
      <c r="G94" s="24" t="n">
        <v>6</v>
      </c>
      <c r="H94" s="25" t="s">
        <v>711</v>
      </c>
      <c r="I94" s="25" t="s">
        <v>1021</v>
      </c>
      <c r="J94" s="24" t="n">
        <v>10</v>
      </c>
      <c r="K94" s="25" t="s">
        <v>1400</v>
      </c>
      <c r="L94" s="25" t="s">
        <v>1401</v>
      </c>
      <c r="M94" s="25" t="s">
        <v>1402</v>
      </c>
      <c r="N94" s="24" t="s">
        <v>192</v>
      </c>
      <c r="O94" s="24" t="s">
        <v>56</v>
      </c>
      <c r="P94" s="23" t="s">
        <v>933</v>
      </c>
      <c r="Q94" s="24" t="n">
        <v>10</v>
      </c>
    </row>
    <row r="95" customFormat="false" ht="23.85" hidden="false" customHeight="false" outlineLevel="0" collapsed="false">
      <c r="A95" s="23" t="s">
        <v>1403</v>
      </c>
      <c r="B95" s="24" t="s">
        <v>708</v>
      </c>
      <c r="C95" s="25" t="s">
        <v>709</v>
      </c>
      <c r="D95" s="25" t="str">
        <f aca="false">IFERROR(INDEX(Equipements!$B$6:$B$200,MATCH($B95,Equipements!$A$6:$A$200,0)),"?")</f>
        <v>Maison &amp; securite</v>
      </c>
      <c r="E95" s="26" t="s">
        <v>1404</v>
      </c>
      <c r="F95" s="24" t="s">
        <v>927</v>
      </c>
      <c r="G95" s="24" t="n">
        <v>6</v>
      </c>
      <c r="H95" s="25" t="s">
        <v>711</v>
      </c>
      <c r="I95" s="25" t="s">
        <v>1021</v>
      </c>
      <c r="J95" s="24" t="n">
        <v>20</v>
      </c>
      <c r="K95" s="25" t="s">
        <v>1405</v>
      </c>
      <c r="L95" s="25" t="s">
        <v>1406</v>
      </c>
      <c r="M95" s="25" t="s">
        <v>1407</v>
      </c>
      <c r="N95" s="24" t="s">
        <v>192</v>
      </c>
      <c r="O95" s="24" t="s">
        <v>56</v>
      </c>
      <c r="P95" s="23" t="s">
        <v>933</v>
      </c>
      <c r="Q95" s="24" t="n">
        <v>20</v>
      </c>
    </row>
    <row r="96" customFormat="false" ht="23.85" hidden="false" customHeight="false" outlineLevel="0" collapsed="false">
      <c r="A96" s="23" t="s">
        <v>1408</v>
      </c>
      <c r="B96" s="24" t="s">
        <v>715</v>
      </c>
      <c r="C96" s="25" t="s">
        <v>716</v>
      </c>
      <c r="D96" s="25" t="str">
        <f aca="false">IFERROR(INDEX(Equipements!$B$6:$B$200,MATCH($B96,Equipements!$A$6:$A$200,0)),"?")</f>
        <v>Maison &amp; securite</v>
      </c>
      <c r="E96" s="26" t="s">
        <v>1409</v>
      </c>
      <c r="F96" s="24" t="s">
        <v>927</v>
      </c>
      <c r="G96" s="24" t="n">
        <v>12</v>
      </c>
      <c r="H96" s="25" t="s">
        <v>1027</v>
      </c>
      <c r="I96" s="25" t="s">
        <v>1040</v>
      </c>
      <c r="J96" s="24" t="n">
        <v>30</v>
      </c>
      <c r="K96" s="25" t="s">
        <v>1410</v>
      </c>
      <c r="L96" s="25" t="s">
        <v>1411</v>
      </c>
      <c r="M96" s="25" t="s">
        <v>1412</v>
      </c>
      <c r="N96" s="24" t="s">
        <v>192</v>
      </c>
      <c r="O96" s="24" t="s">
        <v>56</v>
      </c>
      <c r="P96" s="23" t="s">
        <v>940</v>
      </c>
      <c r="Q96" s="24" t="n">
        <v>30</v>
      </c>
    </row>
    <row r="97" customFormat="false" ht="23.85" hidden="false" customHeight="false" outlineLevel="0" collapsed="false">
      <c r="A97" s="23" t="s">
        <v>1413</v>
      </c>
      <c r="B97" s="24" t="s">
        <v>723</v>
      </c>
      <c r="C97" s="25" t="s">
        <v>724</v>
      </c>
      <c r="D97" s="25" t="str">
        <f aca="false">IFERROR(INDEX(Equipements!$B$6:$B$200,MATCH($B97,Equipements!$A$6:$A$200,0)),"?")</f>
        <v>Maison &amp; securite</v>
      </c>
      <c r="E97" s="26" t="s">
        <v>1414</v>
      </c>
      <c r="F97" s="24" t="s">
        <v>927</v>
      </c>
      <c r="G97" s="24" t="n">
        <v>12</v>
      </c>
      <c r="H97" s="25" t="s">
        <v>1027</v>
      </c>
      <c r="I97" s="25" t="s">
        <v>1040</v>
      </c>
      <c r="J97" s="24" t="n">
        <v>45</v>
      </c>
      <c r="K97" s="25" t="s">
        <v>1415</v>
      </c>
      <c r="L97" s="25" t="s">
        <v>1416</v>
      </c>
      <c r="M97" s="25" t="s">
        <v>1417</v>
      </c>
      <c r="N97" s="24" t="s">
        <v>192</v>
      </c>
      <c r="O97" s="24" t="s">
        <v>56</v>
      </c>
      <c r="P97" s="23" t="s">
        <v>940</v>
      </c>
      <c r="Q97" s="24" t="n">
        <v>45</v>
      </c>
    </row>
    <row r="98" customFormat="false" ht="23.85" hidden="false" customHeight="false" outlineLevel="0" collapsed="false">
      <c r="A98" s="17" t="s">
        <v>1418</v>
      </c>
      <c r="B98" s="16" t="s">
        <v>736</v>
      </c>
      <c r="C98" s="19" t="s">
        <v>738</v>
      </c>
      <c r="D98" s="19" t="str">
        <f aca="false">IFERROR(INDEX(Equipements!$B$6:$B$200,MATCH($B98,Equipements!$A$6:$A$200,0)),"?")</f>
        <v>Jardin &amp; piscine</v>
      </c>
      <c r="E98" s="18" t="s">
        <v>1419</v>
      </c>
      <c r="F98" s="16" t="s">
        <v>927</v>
      </c>
      <c r="G98" s="16" t="n">
        <v>1</v>
      </c>
      <c r="H98" s="19" t="s">
        <v>928</v>
      </c>
      <c r="I98" s="19" t="s">
        <v>929</v>
      </c>
      <c r="J98" s="16" t="n">
        <v>10</v>
      </c>
      <c r="K98" s="19" t="s">
        <v>1029</v>
      </c>
      <c r="L98" s="19" t="s">
        <v>1420</v>
      </c>
      <c r="M98" s="19" t="s">
        <v>1421</v>
      </c>
      <c r="N98" s="17" t="s">
        <v>97</v>
      </c>
      <c r="O98" s="16" t="s">
        <v>56</v>
      </c>
      <c r="P98" s="17" t="s">
        <v>924</v>
      </c>
      <c r="Q98" s="16" t="n">
        <v>10</v>
      </c>
    </row>
    <row r="99" customFormat="false" ht="35.05" hidden="false" customHeight="false" outlineLevel="0" collapsed="false">
      <c r="A99" s="23" t="s">
        <v>1422</v>
      </c>
      <c r="B99" s="24" t="s">
        <v>746</v>
      </c>
      <c r="C99" s="25" t="s">
        <v>747</v>
      </c>
      <c r="D99" s="25" t="str">
        <f aca="false">IFERROR(INDEX(Equipements!$B$6:$B$200,MATCH($B99,Equipements!$A$6:$A$200,0)),"?")</f>
        <v>Jardin &amp; piscine</v>
      </c>
      <c r="E99" s="26" t="s">
        <v>1423</v>
      </c>
      <c r="F99" s="24" t="s">
        <v>927</v>
      </c>
      <c r="G99" s="24" t="n">
        <v>0.25</v>
      </c>
      <c r="H99" s="25" t="s">
        <v>967</v>
      </c>
      <c r="I99" s="25" t="s">
        <v>1424</v>
      </c>
      <c r="J99" s="24" t="n">
        <v>15</v>
      </c>
      <c r="K99" s="25" t="s">
        <v>1425</v>
      </c>
      <c r="L99" s="25" t="s">
        <v>1426</v>
      </c>
      <c r="M99" s="25" t="s">
        <v>1427</v>
      </c>
      <c r="N99" s="24" t="s">
        <v>192</v>
      </c>
      <c r="O99" s="24" t="s">
        <v>56</v>
      </c>
      <c r="P99" s="23" t="s">
        <v>933</v>
      </c>
      <c r="Q99" s="24" t="n">
        <v>15</v>
      </c>
    </row>
    <row r="100" customFormat="false" ht="23.85" hidden="false" customHeight="false" outlineLevel="0" collapsed="false">
      <c r="A100" s="13" t="s">
        <v>1428</v>
      </c>
      <c r="B100" s="27" t="s">
        <v>746</v>
      </c>
      <c r="C100" s="28" t="s">
        <v>747</v>
      </c>
      <c r="D100" s="28" t="str">
        <f aca="false">IFERROR(INDEX(Equipements!$B$6:$B$200,MATCH($B100,Equipements!$A$6:$A$200,0)),"?")</f>
        <v>Jardin &amp; piscine</v>
      </c>
      <c r="E100" s="12" t="s">
        <v>1429</v>
      </c>
      <c r="F100" s="27" t="s">
        <v>202</v>
      </c>
      <c r="G100" s="27" t="n">
        <v>72</v>
      </c>
      <c r="H100" s="28" t="s">
        <v>1430</v>
      </c>
      <c r="I100" s="28" t="s">
        <v>1040</v>
      </c>
      <c r="J100" s="27" t="n">
        <v>180</v>
      </c>
      <c r="K100" s="28" t="s">
        <v>1431</v>
      </c>
      <c r="L100" s="28" t="s">
        <v>1432</v>
      </c>
      <c r="M100" s="28" t="s">
        <v>1433</v>
      </c>
      <c r="N100" s="27" t="s">
        <v>192</v>
      </c>
      <c r="O100" s="27" t="s">
        <v>60</v>
      </c>
      <c r="P100" s="13" t="s">
        <v>940</v>
      </c>
      <c r="Q100" s="27" t="n">
        <v>0</v>
      </c>
    </row>
    <row r="101" customFormat="false" ht="23.85" hidden="false" customHeight="false" outlineLevel="0" collapsed="false">
      <c r="A101" s="23" t="s">
        <v>1434</v>
      </c>
      <c r="B101" s="24" t="s">
        <v>754</v>
      </c>
      <c r="C101" s="25" t="s">
        <v>755</v>
      </c>
      <c r="D101" s="25" t="str">
        <f aca="false">IFERROR(INDEX(Equipements!$B$6:$B$200,MATCH($B101,Equipements!$A$6:$A$200,0)),"?")</f>
        <v>Jardin &amp; piscine</v>
      </c>
      <c r="E101" s="26" t="s">
        <v>1435</v>
      </c>
      <c r="F101" s="24" t="s">
        <v>927</v>
      </c>
      <c r="G101" s="24" t="n">
        <v>0.25</v>
      </c>
      <c r="H101" s="25" t="s">
        <v>967</v>
      </c>
      <c r="I101" s="25" t="s">
        <v>1424</v>
      </c>
      <c r="J101" s="24" t="n">
        <v>10</v>
      </c>
      <c r="K101" s="25" t="s">
        <v>1029</v>
      </c>
      <c r="L101" s="25" t="s">
        <v>1436</v>
      </c>
      <c r="M101" s="25" t="s">
        <v>1437</v>
      </c>
      <c r="N101" s="24" t="s">
        <v>192</v>
      </c>
      <c r="O101" s="24" t="s">
        <v>56</v>
      </c>
      <c r="P101" s="23" t="s">
        <v>933</v>
      </c>
      <c r="Q101" s="24" t="n">
        <v>10</v>
      </c>
    </row>
    <row r="102" customFormat="false" ht="23.85" hidden="false" customHeight="false" outlineLevel="0" collapsed="false">
      <c r="A102" s="23" t="s">
        <v>1438</v>
      </c>
      <c r="B102" s="24" t="s">
        <v>754</v>
      </c>
      <c r="C102" s="25" t="s">
        <v>755</v>
      </c>
      <c r="D102" s="25" t="str">
        <f aca="false">IFERROR(INDEX(Equipements!$B$6:$B$200,MATCH($B102,Equipements!$A$6:$A$200,0)),"?")</f>
        <v>Jardin &amp; piscine</v>
      </c>
      <c r="E102" s="26" t="s">
        <v>1439</v>
      </c>
      <c r="F102" s="24" t="s">
        <v>927</v>
      </c>
      <c r="G102" s="24" t="n">
        <v>12</v>
      </c>
      <c r="H102" s="25" t="s">
        <v>1027</v>
      </c>
      <c r="I102" s="25" t="s">
        <v>1440</v>
      </c>
      <c r="J102" s="24" t="n">
        <v>120</v>
      </c>
      <c r="K102" s="25" t="s">
        <v>1441</v>
      </c>
      <c r="L102" s="25" t="s">
        <v>1442</v>
      </c>
      <c r="M102" s="25" t="s">
        <v>1443</v>
      </c>
      <c r="N102" s="24" t="s">
        <v>192</v>
      </c>
      <c r="O102" s="24" t="s">
        <v>56</v>
      </c>
      <c r="P102" s="23" t="s">
        <v>933</v>
      </c>
      <c r="Q102" s="24" t="n">
        <v>120</v>
      </c>
    </row>
    <row r="103" customFormat="false" ht="23.85" hidden="false" customHeight="false" outlineLevel="0" collapsed="false">
      <c r="A103" s="23" t="s">
        <v>1444</v>
      </c>
      <c r="B103" s="24" t="s">
        <v>754</v>
      </c>
      <c r="C103" s="25" t="s">
        <v>755</v>
      </c>
      <c r="D103" s="25" t="str">
        <f aca="false">IFERROR(INDEX(Equipements!$B$6:$B$200,MATCH($B103,Equipements!$A$6:$A$200,0)),"?")</f>
        <v>Jardin &amp; piscine</v>
      </c>
      <c r="E103" s="26" t="s">
        <v>1445</v>
      </c>
      <c r="F103" s="24" t="s">
        <v>927</v>
      </c>
      <c r="G103" s="24" t="n">
        <v>12</v>
      </c>
      <c r="H103" s="25" t="s">
        <v>1027</v>
      </c>
      <c r="I103" s="25" t="s">
        <v>1446</v>
      </c>
      <c r="J103" s="24" t="n">
        <v>180</v>
      </c>
      <c r="K103" s="25" t="s">
        <v>1447</v>
      </c>
      <c r="L103" s="25" t="s">
        <v>1448</v>
      </c>
      <c r="M103" s="25" t="s">
        <v>1449</v>
      </c>
      <c r="N103" s="24" t="s">
        <v>192</v>
      </c>
      <c r="O103" s="24" t="s">
        <v>56</v>
      </c>
      <c r="P103" s="23" t="s">
        <v>933</v>
      </c>
      <c r="Q103" s="24" t="n">
        <v>90</v>
      </c>
    </row>
    <row r="104" customFormat="false" ht="23.85" hidden="false" customHeight="false" outlineLevel="0" collapsed="false">
      <c r="A104" s="23" t="s">
        <v>1450</v>
      </c>
      <c r="B104" s="24" t="s">
        <v>760</v>
      </c>
      <c r="C104" s="25" t="s">
        <v>761</v>
      </c>
      <c r="D104" s="25" t="str">
        <f aca="false">IFERROR(INDEX(Equipements!$B$6:$B$200,MATCH($B104,Equipements!$A$6:$A$200,0)),"?")</f>
        <v>Jardin &amp; piscine</v>
      </c>
      <c r="E104" s="26" t="s">
        <v>1451</v>
      </c>
      <c r="F104" s="24" t="s">
        <v>927</v>
      </c>
      <c r="G104" s="24" t="n">
        <v>3</v>
      </c>
      <c r="H104" s="25" t="s">
        <v>1452</v>
      </c>
      <c r="I104" s="25" t="s">
        <v>1424</v>
      </c>
      <c r="J104" s="24" t="n">
        <v>30</v>
      </c>
      <c r="K104" s="25" t="s">
        <v>1453</v>
      </c>
      <c r="L104" s="25" t="s">
        <v>1454</v>
      </c>
      <c r="M104" s="25" t="s">
        <v>1455</v>
      </c>
      <c r="N104" s="24" t="s">
        <v>192</v>
      </c>
      <c r="O104" s="24" t="s">
        <v>56</v>
      </c>
      <c r="P104" s="23" t="s">
        <v>940</v>
      </c>
      <c r="Q104" s="24" t="n">
        <v>15</v>
      </c>
    </row>
    <row r="105" customFormat="false" ht="23.85" hidden="false" customHeight="false" outlineLevel="0" collapsed="false">
      <c r="A105" s="17" t="s">
        <v>1456</v>
      </c>
      <c r="B105" s="16" t="s">
        <v>777</v>
      </c>
      <c r="C105" s="19" t="s">
        <v>778</v>
      </c>
      <c r="D105" s="19" t="str">
        <f aca="false">IFERROR(INDEX(Equipements!$B$6:$B$200,MATCH($B105,Equipements!$A$6:$A$200,0)),"?")</f>
        <v>Jardin &amp; piscine</v>
      </c>
      <c r="E105" s="18" t="s">
        <v>1457</v>
      </c>
      <c r="F105" s="16" t="s">
        <v>927</v>
      </c>
      <c r="G105" s="16" t="n">
        <v>1</v>
      </c>
      <c r="H105" s="19" t="s">
        <v>928</v>
      </c>
      <c r="I105" s="19" t="s">
        <v>929</v>
      </c>
      <c r="J105" s="16" t="n">
        <v>5</v>
      </c>
      <c r="K105" s="19" t="s">
        <v>1029</v>
      </c>
      <c r="L105" s="19" t="s">
        <v>1458</v>
      </c>
      <c r="M105" s="19" t="s">
        <v>1459</v>
      </c>
      <c r="N105" s="17" t="s">
        <v>97</v>
      </c>
      <c r="O105" s="16" t="s">
        <v>56</v>
      </c>
      <c r="P105" s="17" t="s">
        <v>924</v>
      </c>
      <c r="Q105" s="16" t="n">
        <v>5</v>
      </c>
    </row>
    <row r="106" customFormat="false" ht="23.85" hidden="false" customHeight="false" outlineLevel="0" collapsed="false">
      <c r="A106" s="23" t="s">
        <v>1460</v>
      </c>
      <c r="B106" s="24" t="s">
        <v>785</v>
      </c>
      <c r="C106" s="25" t="s">
        <v>786</v>
      </c>
      <c r="D106" s="25" t="str">
        <f aca="false">IFERROR(INDEX(Equipements!$B$6:$B$200,MATCH($B106,Equipements!$A$6:$A$200,0)),"?")</f>
        <v>Jardin &amp; piscine</v>
      </c>
      <c r="E106" s="26" t="s">
        <v>1461</v>
      </c>
      <c r="F106" s="24" t="s">
        <v>927</v>
      </c>
      <c r="G106" s="24" t="n">
        <v>3</v>
      </c>
      <c r="H106" s="25" t="s">
        <v>1462</v>
      </c>
      <c r="I106" s="25" t="s">
        <v>929</v>
      </c>
      <c r="J106" s="24" t="n">
        <v>90</v>
      </c>
      <c r="K106" s="25" t="s">
        <v>1463</v>
      </c>
      <c r="L106" s="25" t="s">
        <v>1464</v>
      </c>
      <c r="M106" s="25" t="s">
        <v>1465</v>
      </c>
      <c r="N106" s="24" t="s">
        <v>192</v>
      </c>
      <c r="O106" s="24" t="s">
        <v>56</v>
      </c>
      <c r="P106" s="23" t="s">
        <v>933</v>
      </c>
      <c r="Q106" s="24" t="n">
        <v>45</v>
      </c>
    </row>
    <row r="107" customFormat="false" ht="23.85" hidden="false" customHeight="false" outlineLevel="0" collapsed="false">
      <c r="A107" s="23" t="s">
        <v>1466</v>
      </c>
      <c r="B107" s="24" t="s">
        <v>791</v>
      </c>
      <c r="C107" s="25" t="s">
        <v>793</v>
      </c>
      <c r="D107" s="25" t="str">
        <f aca="false">IFERROR(INDEX(Equipements!$B$6:$B$200,MATCH($B107,Equipements!$A$6:$A$200,0)),"?")</f>
        <v>Jardin &amp; piscine</v>
      </c>
      <c r="E107" s="26" t="s">
        <v>1467</v>
      </c>
      <c r="F107" s="24" t="s">
        <v>927</v>
      </c>
      <c r="G107" s="24" t="n">
        <v>12</v>
      </c>
      <c r="H107" s="25" t="s">
        <v>1027</v>
      </c>
      <c r="I107" s="25" t="s">
        <v>1468</v>
      </c>
      <c r="J107" s="24" t="n">
        <v>60</v>
      </c>
      <c r="K107" s="25" t="s">
        <v>1469</v>
      </c>
      <c r="L107" s="25" t="s">
        <v>1470</v>
      </c>
      <c r="M107" s="25" t="s">
        <v>1471</v>
      </c>
      <c r="N107" s="24" t="s">
        <v>192</v>
      </c>
      <c r="O107" s="24" t="s">
        <v>56</v>
      </c>
      <c r="P107" s="23" t="s">
        <v>940</v>
      </c>
      <c r="Q107" s="24" t="n">
        <v>60</v>
      </c>
    </row>
    <row r="108" customFormat="false" ht="23.85" hidden="false" customHeight="false" outlineLevel="0" collapsed="false">
      <c r="A108" s="23" t="s">
        <v>1472</v>
      </c>
      <c r="B108" s="24" t="s">
        <v>791</v>
      </c>
      <c r="C108" s="25" t="s">
        <v>793</v>
      </c>
      <c r="D108" s="25" t="str">
        <f aca="false">IFERROR(INDEX(Equipements!$B$6:$B$200,MATCH($B108,Equipements!$A$6:$A$200,0)),"?")</f>
        <v>Jardin &amp; piscine</v>
      </c>
      <c r="E108" s="26" t="s">
        <v>1473</v>
      </c>
      <c r="F108" s="24" t="s">
        <v>927</v>
      </c>
      <c r="G108" s="24" t="n">
        <v>12</v>
      </c>
      <c r="H108" s="25" t="s">
        <v>1027</v>
      </c>
      <c r="I108" s="25" t="s">
        <v>1028</v>
      </c>
      <c r="J108" s="24" t="n">
        <v>30</v>
      </c>
      <c r="K108" s="25" t="s">
        <v>1474</v>
      </c>
      <c r="L108" s="25" t="s">
        <v>1475</v>
      </c>
      <c r="M108" s="25" t="s">
        <v>1476</v>
      </c>
      <c r="N108" s="24" t="s">
        <v>192</v>
      </c>
      <c r="O108" s="24" t="s">
        <v>56</v>
      </c>
      <c r="P108" s="23" t="s">
        <v>940</v>
      </c>
      <c r="Q108" s="24" t="n">
        <v>30</v>
      </c>
    </row>
    <row r="109" customFormat="false" ht="23.85" hidden="false" customHeight="false" outlineLevel="0" collapsed="false">
      <c r="A109" s="23" t="s">
        <v>1477</v>
      </c>
      <c r="B109" s="24" t="s">
        <v>800</v>
      </c>
      <c r="C109" s="25" t="s">
        <v>801</v>
      </c>
      <c r="D109" s="25" t="str">
        <f aca="false">IFERROR(INDEX(Equipements!$B$6:$B$200,MATCH($B109,Equipements!$A$6:$A$200,0)),"?")</f>
        <v>Jardin &amp; piscine</v>
      </c>
      <c r="E109" s="26" t="s">
        <v>1478</v>
      </c>
      <c r="F109" s="24" t="s">
        <v>927</v>
      </c>
      <c r="G109" s="24" t="n">
        <v>2.5</v>
      </c>
      <c r="H109" s="25" t="s">
        <v>1479</v>
      </c>
      <c r="I109" s="25" t="s">
        <v>1480</v>
      </c>
      <c r="J109" s="24" t="n">
        <v>15</v>
      </c>
      <c r="K109" s="25" t="s">
        <v>1481</v>
      </c>
      <c r="L109" s="25" t="s">
        <v>1482</v>
      </c>
      <c r="M109" s="25" t="s">
        <v>1483</v>
      </c>
      <c r="N109" s="24" t="s">
        <v>192</v>
      </c>
      <c r="O109" s="24" t="s">
        <v>56</v>
      </c>
      <c r="P109" s="23" t="s">
        <v>940</v>
      </c>
      <c r="Q109" s="24" t="n">
        <v>15</v>
      </c>
    </row>
    <row r="110" customFormat="false" ht="23.85" hidden="false" customHeight="false" outlineLevel="0" collapsed="false">
      <c r="A110" s="23" t="s">
        <v>1484</v>
      </c>
      <c r="B110" s="24" t="s">
        <v>810</v>
      </c>
      <c r="C110" s="25" t="s">
        <v>811</v>
      </c>
      <c r="D110" s="25" t="str">
        <f aca="false">IFERROR(INDEX(Equipements!$B$6:$B$200,MATCH($B110,Equipements!$A$6:$A$200,0)),"?")</f>
        <v>Jardin &amp; piscine</v>
      </c>
      <c r="E110" s="26" t="s">
        <v>1485</v>
      </c>
      <c r="F110" s="24" t="s">
        <v>927</v>
      </c>
      <c r="G110" s="24" t="n">
        <v>12</v>
      </c>
      <c r="H110" s="25" t="s">
        <v>1027</v>
      </c>
      <c r="I110" s="25" t="s">
        <v>1028</v>
      </c>
      <c r="J110" s="24" t="n">
        <v>20</v>
      </c>
      <c r="K110" s="25" t="s">
        <v>1486</v>
      </c>
      <c r="L110" s="25" t="s">
        <v>1487</v>
      </c>
      <c r="M110" s="25" t="s">
        <v>1488</v>
      </c>
      <c r="N110" s="24" t="s">
        <v>192</v>
      </c>
      <c r="O110" s="24" t="s">
        <v>56</v>
      </c>
      <c r="P110" s="23" t="s">
        <v>933</v>
      </c>
      <c r="Q110" s="24" t="n">
        <v>20</v>
      </c>
    </row>
    <row r="111" customFormat="false" ht="23.85" hidden="false" customHeight="false" outlineLevel="0" collapsed="false">
      <c r="A111" s="23" t="s">
        <v>1489</v>
      </c>
      <c r="B111" s="24" t="s">
        <v>816</v>
      </c>
      <c r="C111" s="25" t="s">
        <v>817</v>
      </c>
      <c r="D111" s="25" t="str">
        <f aca="false">IFERROR(INDEX(Equipements!$B$6:$B$200,MATCH($B111,Equipements!$A$6:$A$200,0)),"?")</f>
        <v>Jardin &amp; piscine</v>
      </c>
      <c r="E111" s="26" t="s">
        <v>1490</v>
      </c>
      <c r="F111" s="24" t="s">
        <v>927</v>
      </c>
      <c r="G111" s="24" t="n">
        <v>12</v>
      </c>
      <c r="H111" s="25" t="s">
        <v>1027</v>
      </c>
      <c r="I111" s="25" t="s">
        <v>1028</v>
      </c>
      <c r="J111" s="24" t="n">
        <v>60</v>
      </c>
      <c r="K111" s="25" t="s">
        <v>1491</v>
      </c>
      <c r="L111" s="25" t="s">
        <v>1492</v>
      </c>
      <c r="M111" s="25" t="s">
        <v>1493</v>
      </c>
      <c r="N111" s="24" t="s">
        <v>192</v>
      </c>
      <c r="O111" s="24" t="s">
        <v>56</v>
      </c>
      <c r="P111" s="23" t="s">
        <v>933</v>
      </c>
      <c r="Q111" s="24" t="n">
        <v>60</v>
      </c>
    </row>
    <row r="112" customFormat="false" ht="23.85" hidden="false" customHeight="false" outlineLevel="0" collapsed="false">
      <c r="A112" s="23" t="s">
        <v>1494</v>
      </c>
      <c r="B112" s="24" t="s">
        <v>816</v>
      </c>
      <c r="C112" s="25" t="s">
        <v>817</v>
      </c>
      <c r="D112" s="25" t="str">
        <f aca="false">IFERROR(INDEX(Equipements!$B$6:$B$200,MATCH($B112,Equipements!$A$6:$A$200,0)),"?")</f>
        <v>Jardin &amp; piscine</v>
      </c>
      <c r="E112" s="26" t="s">
        <v>1495</v>
      </c>
      <c r="F112" s="24" t="s">
        <v>927</v>
      </c>
      <c r="G112" s="24" t="n">
        <v>12</v>
      </c>
      <c r="H112" s="25" t="s">
        <v>1027</v>
      </c>
      <c r="I112" s="25" t="s">
        <v>1496</v>
      </c>
      <c r="J112" s="24" t="n">
        <v>45</v>
      </c>
      <c r="K112" s="25" t="s">
        <v>1029</v>
      </c>
      <c r="L112" s="25" t="s">
        <v>1497</v>
      </c>
      <c r="M112" s="25" t="s">
        <v>1498</v>
      </c>
      <c r="N112" s="24" t="s">
        <v>192</v>
      </c>
      <c r="O112" s="24" t="s">
        <v>56</v>
      </c>
      <c r="P112" s="23" t="s">
        <v>940</v>
      </c>
      <c r="Q112" s="24" t="n">
        <v>45</v>
      </c>
    </row>
    <row r="113" customFormat="false" ht="23.85" hidden="false" customHeight="false" outlineLevel="0" collapsed="false">
      <c r="A113" s="23" t="s">
        <v>1499</v>
      </c>
      <c r="B113" s="24" t="s">
        <v>821</v>
      </c>
      <c r="C113" s="25" t="s">
        <v>822</v>
      </c>
      <c r="D113" s="25" t="str">
        <f aca="false">IFERROR(INDEX(Equipements!$B$6:$B$200,MATCH($B113,Equipements!$A$6:$A$200,0)),"?")</f>
        <v>Jardin &amp; piscine</v>
      </c>
      <c r="E113" s="26" t="s">
        <v>1500</v>
      </c>
      <c r="F113" s="24" t="s">
        <v>927</v>
      </c>
      <c r="G113" s="24" t="n">
        <v>12</v>
      </c>
      <c r="H113" s="25" t="s">
        <v>1027</v>
      </c>
      <c r="I113" s="25" t="s">
        <v>1501</v>
      </c>
      <c r="J113" s="24" t="n">
        <v>20</v>
      </c>
      <c r="K113" s="25" t="s">
        <v>1118</v>
      </c>
      <c r="L113" s="25" t="s">
        <v>1502</v>
      </c>
      <c r="M113" s="25" t="s">
        <v>824</v>
      </c>
      <c r="N113" s="24" t="s">
        <v>192</v>
      </c>
      <c r="O113" s="24" t="s">
        <v>56</v>
      </c>
      <c r="P113" s="23" t="s">
        <v>933</v>
      </c>
      <c r="Q113" s="24" t="n">
        <v>20</v>
      </c>
    </row>
    <row r="114" customFormat="false" ht="23.85" hidden="false" customHeight="false" outlineLevel="0" collapsed="false">
      <c r="A114" s="23" t="s">
        <v>1503</v>
      </c>
      <c r="B114" s="24" t="s">
        <v>840</v>
      </c>
      <c r="C114" s="25" t="s">
        <v>841</v>
      </c>
      <c r="D114" s="25" t="str">
        <f aca="false">IFERROR(INDEX(Equipements!$B$6:$B$200,MATCH($B114,Equipements!$A$6:$A$200,0)),"?")</f>
        <v>Maison &amp; securite</v>
      </c>
      <c r="E114" s="26" t="s">
        <v>1504</v>
      </c>
      <c r="F114" s="24" t="s">
        <v>927</v>
      </c>
      <c r="G114" s="24" t="n">
        <v>6</v>
      </c>
      <c r="H114" s="25" t="s">
        <v>1505</v>
      </c>
      <c r="I114" s="25" t="s">
        <v>1506</v>
      </c>
      <c r="J114" s="24" t="n">
        <v>90</v>
      </c>
      <c r="K114" s="25" t="s">
        <v>1507</v>
      </c>
      <c r="L114" s="25" t="s">
        <v>1508</v>
      </c>
      <c r="M114" s="25" t="s">
        <v>1509</v>
      </c>
      <c r="N114" s="24" t="s">
        <v>192</v>
      </c>
      <c r="O114" s="24" t="s">
        <v>56</v>
      </c>
      <c r="P114" s="23" t="s">
        <v>933</v>
      </c>
      <c r="Q114" s="24" t="n">
        <v>90</v>
      </c>
    </row>
    <row r="115" customFormat="false" ht="35.05" hidden="false" customHeight="false" outlineLevel="0" collapsed="false">
      <c r="A115" s="23" t="s">
        <v>1510</v>
      </c>
      <c r="B115" s="24" t="s">
        <v>832</v>
      </c>
      <c r="C115" s="25" t="s">
        <v>834</v>
      </c>
      <c r="D115" s="25" t="str">
        <f aca="false">IFERROR(INDEX(Equipements!$B$6:$B$200,MATCH($B115,Equipements!$A$6:$A$200,0)),"?")</f>
        <v>Maison &amp; securite</v>
      </c>
      <c r="E115" s="26" t="s">
        <v>1511</v>
      </c>
      <c r="F115" s="24" t="s">
        <v>927</v>
      </c>
      <c r="G115" s="24" t="n">
        <v>12</v>
      </c>
      <c r="H115" s="25" t="s">
        <v>1027</v>
      </c>
      <c r="I115" s="25" t="s">
        <v>1512</v>
      </c>
      <c r="J115" s="24" t="n">
        <v>30</v>
      </c>
      <c r="K115" s="25" t="s">
        <v>1513</v>
      </c>
      <c r="L115" s="25" t="s">
        <v>1514</v>
      </c>
      <c r="M115" s="25" t="s">
        <v>1515</v>
      </c>
      <c r="N115" s="24" t="s">
        <v>192</v>
      </c>
      <c r="O115" s="24" t="s">
        <v>56</v>
      </c>
      <c r="P115" s="23" t="s">
        <v>933</v>
      </c>
      <c r="Q115" s="24" t="n">
        <v>30</v>
      </c>
    </row>
    <row r="116" customFormat="false" ht="23.85" hidden="false" customHeight="false" outlineLevel="0" collapsed="false">
      <c r="A116" s="13" t="s">
        <v>1516</v>
      </c>
      <c r="B116" s="27" t="s">
        <v>832</v>
      </c>
      <c r="C116" s="28" t="s">
        <v>834</v>
      </c>
      <c r="D116" s="28" t="str">
        <f aca="false">IFERROR(INDEX(Equipements!$B$6:$B$200,MATCH($B116,Equipements!$A$6:$A$200,0)),"?")</f>
        <v>Maison &amp; securite</v>
      </c>
      <c r="E116" s="12" t="s">
        <v>1517</v>
      </c>
      <c r="F116" s="27" t="s">
        <v>202</v>
      </c>
      <c r="G116" s="27" t="n">
        <v>84</v>
      </c>
      <c r="H116" s="28" t="s">
        <v>1070</v>
      </c>
      <c r="I116" s="28" t="s">
        <v>1016</v>
      </c>
      <c r="J116" s="27" t="n">
        <v>480</v>
      </c>
      <c r="K116" s="28" t="s">
        <v>1518</v>
      </c>
      <c r="L116" s="28" t="s">
        <v>1519</v>
      </c>
      <c r="M116" s="28" t="s">
        <v>1520</v>
      </c>
      <c r="N116" s="27" t="s">
        <v>192</v>
      </c>
      <c r="O116" s="27" t="s">
        <v>60</v>
      </c>
      <c r="P116" s="13" t="s">
        <v>940</v>
      </c>
      <c r="Q116" s="27" t="n">
        <v>0</v>
      </c>
    </row>
    <row r="117" customFormat="false" ht="23.85" hidden="false" customHeight="false" outlineLevel="0" collapsed="false">
      <c r="A117" s="23" t="s">
        <v>1521</v>
      </c>
      <c r="B117" s="24" t="s">
        <v>852</v>
      </c>
      <c r="C117" s="25" t="s">
        <v>853</v>
      </c>
      <c r="D117" s="25" t="str">
        <f aca="false">IFERROR(INDEX(Equipements!$B$6:$B$200,MATCH($B117,Equipements!$A$6:$A$200,0)),"?")</f>
        <v>Maison &amp; securite</v>
      </c>
      <c r="E117" s="26" t="s">
        <v>1522</v>
      </c>
      <c r="F117" s="24" t="s">
        <v>927</v>
      </c>
      <c r="G117" s="24" t="n">
        <v>12</v>
      </c>
      <c r="H117" s="25" t="s">
        <v>1027</v>
      </c>
      <c r="I117" s="25" t="s">
        <v>1523</v>
      </c>
      <c r="J117" s="24" t="n">
        <v>240</v>
      </c>
      <c r="K117" s="25" t="s">
        <v>1524</v>
      </c>
      <c r="L117" s="25" t="s">
        <v>1525</v>
      </c>
      <c r="M117" s="25" t="s">
        <v>1526</v>
      </c>
      <c r="N117" s="24" t="s">
        <v>192</v>
      </c>
      <c r="O117" s="24" t="s">
        <v>56</v>
      </c>
      <c r="P117" s="23" t="s">
        <v>940</v>
      </c>
      <c r="Q117" s="24" t="n">
        <v>180</v>
      </c>
    </row>
    <row r="118" customFormat="false" ht="35.05" hidden="false" customHeight="false" outlineLevel="0" collapsed="false">
      <c r="A118" s="13" t="s">
        <v>1527</v>
      </c>
      <c r="B118" s="27" t="s">
        <v>857</v>
      </c>
      <c r="C118" s="28" t="s">
        <v>858</v>
      </c>
      <c r="D118" s="28" t="str">
        <f aca="false">IFERROR(INDEX(Equipements!$B$6:$B$200,MATCH($B118,Equipements!$A$6:$A$200,0)),"?")</f>
        <v>Maison &amp; securite</v>
      </c>
      <c r="E118" s="12" t="s">
        <v>1528</v>
      </c>
      <c r="F118" s="27" t="s">
        <v>202</v>
      </c>
      <c r="G118" s="27" t="n">
        <v>48</v>
      </c>
      <c r="H118" s="28" t="s">
        <v>1529</v>
      </c>
      <c r="I118" s="28" t="s">
        <v>929</v>
      </c>
      <c r="J118" s="27" t="n">
        <v>90</v>
      </c>
      <c r="K118" s="28" t="s">
        <v>1530</v>
      </c>
      <c r="L118" s="28" t="s">
        <v>1531</v>
      </c>
      <c r="M118" s="28" t="s">
        <v>1532</v>
      </c>
      <c r="N118" s="27" t="s">
        <v>225</v>
      </c>
      <c r="O118" s="27" t="s">
        <v>60</v>
      </c>
      <c r="P118" s="13" t="s">
        <v>940</v>
      </c>
      <c r="Q118" s="27" t="n">
        <v>0</v>
      </c>
    </row>
    <row r="119" customFormat="false" ht="23.85" hidden="false" customHeight="false" outlineLevel="0" collapsed="false">
      <c r="A119" s="23" t="s">
        <v>1533</v>
      </c>
      <c r="B119" s="24" t="s">
        <v>864</v>
      </c>
      <c r="C119" s="25" t="s">
        <v>865</v>
      </c>
      <c r="D119" s="25" t="str">
        <f aca="false">IFERROR(INDEX(Equipements!$B$6:$B$200,MATCH($B119,Equipements!$A$6:$A$200,0)),"?")</f>
        <v>Maison &amp; securite</v>
      </c>
      <c r="E119" s="26" t="s">
        <v>1534</v>
      </c>
      <c r="F119" s="24" t="s">
        <v>927</v>
      </c>
      <c r="G119" s="24" t="n">
        <v>12</v>
      </c>
      <c r="H119" s="25" t="s">
        <v>1027</v>
      </c>
      <c r="I119" s="25" t="s">
        <v>1535</v>
      </c>
      <c r="J119" s="24" t="n">
        <v>20</v>
      </c>
      <c r="K119" s="25" t="s">
        <v>1405</v>
      </c>
      <c r="L119" s="25" t="s">
        <v>1536</v>
      </c>
      <c r="M119" s="25" t="s">
        <v>1537</v>
      </c>
      <c r="N119" s="24" t="s">
        <v>192</v>
      </c>
      <c r="O119" s="24" t="s">
        <v>56</v>
      </c>
      <c r="P119" s="23" t="s">
        <v>940</v>
      </c>
      <c r="Q119" s="24" t="n">
        <v>20</v>
      </c>
    </row>
    <row r="120" customFormat="false" ht="23.85" hidden="false" customHeight="false" outlineLevel="0" collapsed="false">
      <c r="A120" s="23" t="s">
        <v>1538</v>
      </c>
      <c r="B120" s="24" t="s">
        <v>868</v>
      </c>
      <c r="C120" s="25" t="s">
        <v>869</v>
      </c>
      <c r="D120" s="25" t="str">
        <f aca="false">IFERROR(INDEX(Equipements!$B$6:$B$200,MATCH($B120,Equipements!$A$6:$A$200,0)),"?")</f>
        <v>Maison &amp; securite</v>
      </c>
      <c r="E120" s="26" t="s">
        <v>1539</v>
      </c>
      <c r="F120" s="24" t="s">
        <v>927</v>
      </c>
      <c r="G120" s="24" t="n">
        <v>12</v>
      </c>
      <c r="H120" s="25" t="s">
        <v>1027</v>
      </c>
      <c r="I120" s="25" t="s">
        <v>1535</v>
      </c>
      <c r="J120" s="24" t="n">
        <v>15</v>
      </c>
      <c r="K120" s="25" t="s">
        <v>1540</v>
      </c>
      <c r="L120" s="25" t="s">
        <v>1541</v>
      </c>
      <c r="M120" s="25" t="s">
        <v>1542</v>
      </c>
      <c r="N120" s="24" t="s">
        <v>192</v>
      </c>
      <c r="O120" s="24" t="s">
        <v>56</v>
      </c>
      <c r="P120" s="23" t="s">
        <v>940</v>
      </c>
      <c r="Q120" s="24" t="n">
        <v>15</v>
      </c>
    </row>
    <row r="121" customFormat="false" ht="35.05" hidden="false" customHeight="false" outlineLevel="0" collapsed="false">
      <c r="A121" s="23" t="s">
        <v>1543</v>
      </c>
      <c r="B121" s="24" t="s">
        <v>612</v>
      </c>
      <c r="C121" s="25" t="s">
        <v>613</v>
      </c>
      <c r="D121" s="25" t="str">
        <f aca="false">IFERROR(INDEX(Equipements!$B$6:$B$200,MATCH($B121,Equipements!$A$6:$A$200,0)),"?")</f>
        <v>Energie</v>
      </c>
      <c r="E121" s="26" t="s">
        <v>1544</v>
      </c>
      <c r="F121" s="24" t="s">
        <v>927</v>
      </c>
      <c r="G121" s="24" t="n">
        <v>12</v>
      </c>
      <c r="H121" s="25" t="s">
        <v>1027</v>
      </c>
      <c r="I121" s="25" t="s">
        <v>1545</v>
      </c>
      <c r="J121" s="24" t="n">
        <v>30</v>
      </c>
      <c r="K121" s="25" t="s">
        <v>1546</v>
      </c>
      <c r="L121" s="25" t="s">
        <v>1547</v>
      </c>
      <c r="M121" s="25" t="s">
        <v>1548</v>
      </c>
      <c r="N121" s="24" t="s">
        <v>192</v>
      </c>
      <c r="O121" s="24" t="s">
        <v>58</v>
      </c>
      <c r="P121" s="23" t="s">
        <v>940</v>
      </c>
      <c r="Q121" s="24" t="n">
        <v>30</v>
      </c>
    </row>
    <row r="122" customFormat="false" ht="23.85" hidden="false" customHeight="false" outlineLevel="0" collapsed="false">
      <c r="A122" s="23" t="s">
        <v>1549</v>
      </c>
      <c r="B122" s="24" t="s">
        <v>295</v>
      </c>
      <c r="C122" s="25" t="s">
        <v>297</v>
      </c>
      <c r="D122" s="25" t="str">
        <f aca="false">IFERROR(INDEX(Equipements!$B$6:$B$200,MATCH($B122,Equipements!$A$6:$A$200,0)),"?")</f>
        <v>Chauffage &amp; climatisation</v>
      </c>
      <c r="E122" s="26" t="s">
        <v>1033</v>
      </c>
      <c r="F122" s="24" t="s">
        <v>927</v>
      </c>
      <c r="G122" s="24" t="n">
        <v>1</v>
      </c>
      <c r="H122" s="25" t="s">
        <v>973</v>
      </c>
      <c r="I122" s="25" t="s">
        <v>1424</v>
      </c>
      <c r="J122" s="24" t="n">
        <v>10</v>
      </c>
      <c r="K122" s="25" t="s">
        <v>1035</v>
      </c>
      <c r="L122" s="25" t="s">
        <v>1550</v>
      </c>
      <c r="M122" s="25" t="s">
        <v>1551</v>
      </c>
      <c r="N122" s="24" t="s">
        <v>192</v>
      </c>
      <c r="O122" s="24" t="s">
        <v>56</v>
      </c>
      <c r="P122" s="23" t="s">
        <v>940</v>
      </c>
      <c r="Q122" s="24" t="n">
        <v>10</v>
      </c>
    </row>
    <row r="123" customFormat="false" ht="23.85" hidden="false" customHeight="false" outlineLevel="0" collapsed="false">
      <c r="A123" s="17" t="s">
        <v>1552</v>
      </c>
      <c r="B123" s="16" t="s">
        <v>295</v>
      </c>
      <c r="C123" s="19" t="s">
        <v>297</v>
      </c>
      <c r="D123" s="19" t="str">
        <f aca="false">IFERROR(INDEX(Equipements!$B$6:$B$200,MATCH($B123,Equipements!$A$6:$A$200,0)),"?")</f>
        <v>Chauffage &amp; climatisation</v>
      </c>
      <c r="E123" s="18" t="s">
        <v>1553</v>
      </c>
      <c r="F123" s="16" t="s">
        <v>202</v>
      </c>
      <c r="G123" s="16" t="n">
        <v>24</v>
      </c>
      <c r="H123" s="19" t="s">
        <v>170</v>
      </c>
      <c r="I123" s="19" t="s">
        <v>1554</v>
      </c>
      <c r="J123" s="16" t="n">
        <v>90</v>
      </c>
      <c r="K123" s="19" t="s">
        <v>298</v>
      </c>
      <c r="L123" s="19" t="s">
        <v>1555</v>
      </c>
      <c r="M123" s="19" t="s">
        <v>1556</v>
      </c>
      <c r="N123" s="17" t="s">
        <v>97</v>
      </c>
      <c r="O123" s="16" t="s">
        <v>56</v>
      </c>
      <c r="P123" s="17" t="s">
        <v>924</v>
      </c>
      <c r="Q123" s="16" t="n">
        <v>0</v>
      </c>
    </row>
    <row r="124" customFormat="false" ht="23.85" hidden="false" customHeight="false" outlineLevel="0" collapsed="false">
      <c r="A124" s="23" t="s">
        <v>1557</v>
      </c>
      <c r="B124" s="24" t="s">
        <v>295</v>
      </c>
      <c r="C124" s="25" t="s">
        <v>297</v>
      </c>
      <c r="D124" s="25" t="str">
        <f aca="false">IFERROR(INDEX(Equipements!$B$6:$B$200,MATCH($B124,Equipements!$A$6:$A$200,0)),"?")</f>
        <v>Chauffage &amp; climatisation</v>
      </c>
      <c r="E124" s="26" t="s">
        <v>1558</v>
      </c>
      <c r="F124" s="24" t="s">
        <v>927</v>
      </c>
      <c r="G124" s="24" t="n">
        <v>12</v>
      </c>
      <c r="H124" s="25" t="s">
        <v>1027</v>
      </c>
      <c r="I124" s="25" t="s">
        <v>1501</v>
      </c>
      <c r="J124" s="24" t="n">
        <v>15</v>
      </c>
      <c r="K124" s="25" t="s">
        <v>1559</v>
      </c>
      <c r="L124" s="25" t="s">
        <v>1560</v>
      </c>
      <c r="M124" s="25" t="s">
        <v>1561</v>
      </c>
      <c r="N124" s="24" t="s">
        <v>192</v>
      </c>
      <c r="O124" s="24" t="s">
        <v>56</v>
      </c>
      <c r="P124" s="23" t="s">
        <v>933</v>
      </c>
      <c r="Q124" s="24" t="n">
        <v>15</v>
      </c>
    </row>
    <row r="125" customFormat="false" ht="23.85" hidden="false" customHeight="false" outlineLevel="0" collapsed="false">
      <c r="A125" s="23" t="s">
        <v>1562</v>
      </c>
      <c r="B125" s="24" t="s">
        <v>300</v>
      </c>
      <c r="C125" s="25" t="s">
        <v>301</v>
      </c>
      <c r="D125" s="25" t="str">
        <f aca="false">IFERROR(INDEX(Equipements!$B$6:$B$200,MATCH($B125,Equipements!$A$6:$A$200,0)),"?")</f>
        <v>Chauffage &amp; climatisation</v>
      </c>
      <c r="E125" s="26" t="s">
        <v>1563</v>
      </c>
      <c r="F125" s="24" t="s">
        <v>927</v>
      </c>
      <c r="G125" s="24" t="n">
        <v>1</v>
      </c>
      <c r="H125" s="25" t="s">
        <v>1564</v>
      </c>
      <c r="I125" s="25" t="s">
        <v>1565</v>
      </c>
      <c r="J125" s="24" t="n">
        <v>10</v>
      </c>
      <c r="K125" s="25" t="s">
        <v>1566</v>
      </c>
      <c r="L125" s="25" t="s">
        <v>1567</v>
      </c>
      <c r="M125" s="25" t="s">
        <v>1568</v>
      </c>
      <c r="N125" s="24" t="s">
        <v>192</v>
      </c>
      <c r="O125" s="24" t="s">
        <v>56</v>
      </c>
      <c r="P125" s="23" t="s">
        <v>940</v>
      </c>
      <c r="Q125" s="24" t="n">
        <v>10</v>
      </c>
    </row>
    <row r="126" customFormat="false" ht="23.85" hidden="false" customHeight="false" outlineLevel="0" collapsed="false">
      <c r="A126" s="17" t="s">
        <v>1569</v>
      </c>
      <c r="B126" s="16" t="s">
        <v>307</v>
      </c>
      <c r="C126" s="19" t="s">
        <v>308</v>
      </c>
      <c r="D126" s="19" t="str">
        <f aca="false">IFERROR(INDEX(Equipements!$B$6:$B$200,MATCH($B126,Equipements!$A$6:$A$200,0)),"?")</f>
        <v>Chauffage &amp; climatisation</v>
      </c>
      <c r="E126" s="18" t="s">
        <v>1570</v>
      </c>
      <c r="F126" s="16" t="s">
        <v>202</v>
      </c>
      <c r="G126" s="16" t="n">
        <v>12</v>
      </c>
      <c r="H126" s="19" t="s">
        <v>919</v>
      </c>
      <c r="I126" s="19" t="s">
        <v>929</v>
      </c>
      <c r="J126" s="16" t="n">
        <v>60</v>
      </c>
      <c r="K126" s="19" t="s">
        <v>1571</v>
      </c>
      <c r="L126" s="19" t="s">
        <v>1572</v>
      </c>
      <c r="M126" s="19" t="s">
        <v>1573</v>
      </c>
      <c r="N126" s="17" t="s">
        <v>97</v>
      </c>
      <c r="O126" s="16" t="s">
        <v>58</v>
      </c>
      <c r="P126" s="17" t="s">
        <v>924</v>
      </c>
      <c r="Q126" s="16" t="n">
        <v>0</v>
      </c>
    </row>
    <row r="127" customFormat="false" ht="23.85" hidden="false" customHeight="false" outlineLevel="0" collapsed="false">
      <c r="A127" s="17" t="s">
        <v>1574</v>
      </c>
      <c r="B127" s="16" t="s">
        <v>183</v>
      </c>
      <c r="C127" s="19" t="s">
        <v>184</v>
      </c>
      <c r="D127" s="19" t="str">
        <f aca="false">IFERROR(INDEX(Equipements!$B$6:$B$200,MATCH($B127,Equipements!$A$6:$A$200,0)),"?")</f>
        <v>Chauffage &amp; climatisation</v>
      </c>
      <c r="E127" s="18" t="s">
        <v>1575</v>
      </c>
      <c r="F127" s="16" t="s">
        <v>202</v>
      </c>
      <c r="G127" s="16" t="n">
        <v>24</v>
      </c>
      <c r="H127" s="19" t="s">
        <v>170</v>
      </c>
      <c r="I127" s="19" t="s">
        <v>1040</v>
      </c>
      <c r="J127" s="16" t="n">
        <v>120</v>
      </c>
      <c r="K127" s="19" t="s">
        <v>1576</v>
      </c>
      <c r="L127" s="19" t="s">
        <v>1577</v>
      </c>
      <c r="M127" s="19" t="s">
        <v>1578</v>
      </c>
      <c r="N127" s="17" t="s">
        <v>97</v>
      </c>
      <c r="O127" s="16" t="s">
        <v>56</v>
      </c>
      <c r="P127" s="17" t="s">
        <v>924</v>
      </c>
      <c r="Q127" s="16" t="n">
        <v>0</v>
      </c>
    </row>
    <row r="128" customFormat="false" ht="23.85" hidden="false" customHeight="false" outlineLevel="0" collapsed="false">
      <c r="A128" s="23" t="s">
        <v>1579</v>
      </c>
      <c r="B128" s="24" t="s">
        <v>207</v>
      </c>
      <c r="C128" s="25" t="s">
        <v>208</v>
      </c>
      <c r="D128" s="25" t="str">
        <f aca="false">IFERROR(INDEX(Equipements!$B$6:$B$200,MATCH($B128,Equipements!$A$6:$A$200,0)),"?")</f>
        <v>Chauffage &amp; climatisation</v>
      </c>
      <c r="E128" s="26" t="s">
        <v>1580</v>
      </c>
      <c r="F128" s="24" t="s">
        <v>927</v>
      </c>
      <c r="G128" s="24" t="n">
        <v>12</v>
      </c>
      <c r="H128" s="25" t="s">
        <v>1027</v>
      </c>
      <c r="I128" s="25" t="s">
        <v>1064</v>
      </c>
      <c r="J128" s="24" t="n">
        <v>20</v>
      </c>
      <c r="K128" s="25" t="s">
        <v>1581</v>
      </c>
      <c r="L128" s="25" t="s">
        <v>1582</v>
      </c>
      <c r="M128" s="25" t="s">
        <v>1583</v>
      </c>
      <c r="N128" s="24" t="s">
        <v>192</v>
      </c>
      <c r="O128" s="24" t="s">
        <v>56</v>
      </c>
      <c r="P128" s="23" t="s">
        <v>940</v>
      </c>
      <c r="Q128" s="24" t="n">
        <v>20</v>
      </c>
    </row>
    <row r="129" customFormat="false" ht="23.85" hidden="false" customHeight="false" outlineLevel="0" collapsed="false">
      <c r="A129" s="17" t="s">
        <v>1584</v>
      </c>
      <c r="B129" s="16" t="s">
        <v>233</v>
      </c>
      <c r="C129" s="19" t="s">
        <v>234</v>
      </c>
      <c r="D129" s="19" t="str">
        <f aca="false">IFERROR(INDEX(Equipements!$B$6:$B$200,MATCH($B129,Equipements!$A$6:$A$200,0)),"?")</f>
        <v>Chauffage &amp; climatisation</v>
      </c>
      <c r="E129" s="18" t="s">
        <v>1585</v>
      </c>
      <c r="F129" s="16" t="s">
        <v>202</v>
      </c>
      <c r="G129" s="16" t="n">
        <v>60</v>
      </c>
      <c r="H129" s="19" t="s">
        <v>1586</v>
      </c>
      <c r="I129" s="19" t="s">
        <v>1369</v>
      </c>
      <c r="J129" s="16" t="n">
        <v>60</v>
      </c>
      <c r="K129" s="19" t="s">
        <v>238</v>
      </c>
      <c r="L129" s="19" t="s">
        <v>1587</v>
      </c>
      <c r="M129" s="19" t="s">
        <v>1588</v>
      </c>
      <c r="N129" s="17" t="s">
        <v>97</v>
      </c>
      <c r="O129" s="16" t="s">
        <v>56</v>
      </c>
      <c r="P129" s="17" t="s">
        <v>924</v>
      </c>
      <c r="Q129" s="16" t="n">
        <v>0</v>
      </c>
    </row>
    <row r="130" customFormat="false" ht="23.85" hidden="false" customHeight="false" outlineLevel="0" collapsed="false">
      <c r="A130" s="23" t="s">
        <v>1589</v>
      </c>
      <c r="B130" s="24" t="s">
        <v>245</v>
      </c>
      <c r="C130" s="25" t="s">
        <v>246</v>
      </c>
      <c r="D130" s="25" t="str">
        <f aca="false">IFERROR(INDEX(Equipements!$B$6:$B$200,MATCH($B130,Equipements!$A$6:$A$200,0)),"?")</f>
        <v>Chauffage &amp; climatisation</v>
      </c>
      <c r="E130" s="26" t="s">
        <v>1590</v>
      </c>
      <c r="F130" s="24" t="s">
        <v>927</v>
      </c>
      <c r="G130" s="24" t="n">
        <v>12</v>
      </c>
      <c r="H130" s="25" t="s">
        <v>1027</v>
      </c>
      <c r="I130" s="25" t="s">
        <v>1064</v>
      </c>
      <c r="J130" s="24" t="n">
        <v>5</v>
      </c>
      <c r="K130" s="25" t="s">
        <v>1591</v>
      </c>
      <c r="L130" s="25" t="s">
        <v>1592</v>
      </c>
      <c r="M130" s="25" t="s">
        <v>1593</v>
      </c>
      <c r="N130" s="24" t="s">
        <v>192</v>
      </c>
      <c r="O130" s="24" t="s">
        <v>56</v>
      </c>
      <c r="P130" s="23" t="s">
        <v>933</v>
      </c>
      <c r="Q130" s="24" t="n">
        <v>5</v>
      </c>
    </row>
    <row r="131" customFormat="false" ht="23.85" hidden="false" customHeight="false" outlineLevel="0" collapsed="false">
      <c r="A131" s="17" t="s">
        <v>1594</v>
      </c>
      <c r="B131" s="16" t="s">
        <v>265</v>
      </c>
      <c r="C131" s="19" t="s">
        <v>266</v>
      </c>
      <c r="D131" s="19" t="str">
        <f aca="false">IFERROR(INDEX(Equipements!$B$6:$B$200,MATCH($B131,Equipements!$A$6:$A$200,0)),"?")</f>
        <v>Chauffage &amp; climatisation</v>
      </c>
      <c r="E131" s="18" t="s">
        <v>1595</v>
      </c>
      <c r="F131" s="16" t="s">
        <v>202</v>
      </c>
      <c r="G131" s="16" t="n">
        <v>12</v>
      </c>
      <c r="H131" s="19" t="s">
        <v>919</v>
      </c>
      <c r="I131" s="19" t="s">
        <v>943</v>
      </c>
      <c r="J131" s="16" t="n">
        <v>60</v>
      </c>
      <c r="K131" s="19" t="s">
        <v>1596</v>
      </c>
      <c r="L131" s="19" t="s">
        <v>1597</v>
      </c>
      <c r="M131" s="19" t="s">
        <v>1598</v>
      </c>
      <c r="N131" s="17" t="s">
        <v>97</v>
      </c>
      <c r="O131" s="16" t="s">
        <v>56</v>
      </c>
      <c r="P131" s="17" t="s">
        <v>924</v>
      </c>
      <c r="Q131" s="16" t="n">
        <v>0</v>
      </c>
    </row>
    <row r="132" customFormat="false" ht="23.85" hidden="false" customHeight="false" outlineLevel="0" collapsed="false">
      <c r="A132" s="13" t="s">
        <v>1599</v>
      </c>
      <c r="B132" s="27" t="s">
        <v>280</v>
      </c>
      <c r="C132" s="28" t="s">
        <v>281</v>
      </c>
      <c r="D132" s="28" t="str">
        <f aca="false">IFERROR(INDEX(Equipements!$B$6:$B$200,MATCH($B132,Equipements!$A$6:$A$200,0)),"?")</f>
        <v>Chauffage &amp; climatisation</v>
      </c>
      <c r="E132" s="12" t="s">
        <v>1600</v>
      </c>
      <c r="F132" s="27" t="s">
        <v>202</v>
      </c>
      <c r="G132" s="27" t="n">
        <v>60</v>
      </c>
      <c r="H132" s="28" t="s">
        <v>1198</v>
      </c>
      <c r="I132" s="28" t="s">
        <v>929</v>
      </c>
      <c r="J132" s="27" t="n">
        <v>45</v>
      </c>
      <c r="K132" s="28" t="s">
        <v>1601</v>
      </c>
      <c r="L132" s="28" t="s">
        <v>1602</v>
      </c>
      <c r="M132" s="28" t="s">
        <v>1603</v>
      </c>
      <c r="N132" s="27" t="s">
        <v>192</v>
      </c>
      <c r="O132" s="27" t="s">
        <v>58</v>
      </c>
      <c r="P132" s="13" t="s">
        <v>933</v>
      </c>
      <c r="Q132" s="27" t="n">
        <v>0</v>
      </c>
    </row>
    <row r="133" customFormat="false" ht="23.85" hidden="false" customHeight="false" outlineLevel="0" collapsed="false">
      <c r="A133" s="13" t="s">
        <v>1604</v>
      </c>
      <c r="B133" s="27" t="s">
        <v>347</v>
      </c>
      <c r="C133" s="28" t="s">
        <v>348</v>
      </c>
      <c r="D133" s="28" t="str">
        <f aca="false">IFERROR(INDEX(Equipements!$B$6:$B$200,MATCH($B133,Equipements!$A$6:$A$200,0)),"?")</f>
        <v>Chauffage &amp; climatisation</v>
      </c>
      <c r="E133" s="12" t="s">
        <v>1605</v>
      </c>
      <c r="F133" s="27" t="s">
        <v>202</v>
      </c>
      <c r="G133" s="27" t="n">
        <v>12</v>
      </c>
      <c r="H133" s="28" t="s">
        <v>1027</v>
      </c>
      <c r="I133" s="28" t="s">
        <v>1040</v>
      </c>
      <c r="J133" s="27" t="n">
        <v>45</v>
      </c>
      <c r="K133" s="28" t="s">
        <v>1606</v>
      </c>
      <c r="L133" s="28" t="s">
        <v>1607</v>
      </c>
      <c r="M133" s="28" t="s">
        <v>1608</v>
      </c>
      <c r="N133" s="27" t="s">
        <v>192</v>
      </c>
      <c r="O133" s="27" t="s">
        <v>58</v>
      </c>
      <c r="P133" s="13" t="s">
        <v>940</v>
      </c>
      <c r="Q133" s="27" t="n">
        <v>0</v>
      </c>
    </row>
    <row r="134" customFormat="false" ht="23.85" hidden="false" customHeight="false" outlineLevel="0" collapsed="false">
      <c r="A134" s="23" t="s">
        <v>1609</v>
      </c>
      <c r="B134" s="24" t="s">
        <v>376</v>
      </c>
      <c r="C134" s="25" t="s">
        <v>377</v>
      </c>
      <c r="D134" s="25" t="str">
        <f aca="false">IFERROR(INDEX(Equipements!$B$6:$B$200,MATCH($B134,Equipements!$A$6:$A$200,0)),"?")</f>
        <v>Cuisine</v>
      </c>
      <c r="E134" s="26" t="s">
        <v>1610</v>
      </c>
      <c r="F134" s="24" t="s">
        <v>927</v>
      </c>
      <c r="G134" s="24" t="n">
        <v>12</v>
      </c>
      <c r="H134" s="25" t="s">
        <v>1027</v>
      </c>
      <c r="I134" s="25" t="s">
        <v>929</v>
      </c>
      <c r="J134" s="24" t="n">
        <v>10</v>
      </c>
      <c r="K134" s="25" t="s">
        <v>1269</v>
      </c>
      <c r="L134" s="25" t="s">
        <v>1611</v>
      </c>
      <c r="M134" s="25" t="s">
        <v>1612</v>
      </c>
      <c r="N134" s="24" t="s">
        <v>192</v>
      </c>
      <c r="O134" s="24" t="s">
        <v>56</v>
      </c>
      <c r="P134" s="23" t="s">
        <v>940</v>
      </c>
      <c r="Q134" s="24" t="n">
        <v>10</v>
      </c>
    </row>
    <row r="135" customFormat="false" ht="23.85" hidden="false" customHeight="false" outlineLevel="0" collapsed="false">
      <c r="A135" s="23" t="s">
        <v>1613</v>
      </c>
      <c r="B135" s="24" t="s">
        <v>405</v>
      </c>
      <c r="C135" s="25" t="s">
        <v>406</v>
      </c>
      <c r="D135" s="25" t="str">
        <f aca="false">IFERROR(INDEX(Equipements!$B$6:$B$200,MATCH($B135,Equipements!$A$6:$A$200,0)),"?")</f>
        <v>Buanderie</v>
      </c>
      <c r="E135" s="26" t="s">
        <v>1614</v>
      </c>
      <c r="F135" s="24" t="s">
        <v>927</v>
      </c>
      <c r="G135" s="24" t="n">
        <v>3</v>
      </c>
      <c r="H135" s="25" t="s">
        <v>1615</v>
      </c>
      <c r="I135" s="25" t="s">
        <v>929</v>
      </c>
      <c r="J135" s="24" t="n">
        <v>30</v>
      </c>
      <c r="K135" s="25" t="s">
        <v>1616</v>
      </c>
      <c r="L135" s="25" t="s">
        <v>1617</v>
      </c>
      <c r="M135" s="25" t="s">
        <v>1618</v>
      </c>
      <c r="N135" s="24" t="s">
        <v>192</v>
      </c>
      <c r="O135" s="24" t="s">
        <v>56</v>
      </c>
      <c r="P135" s="23" t="s">
        <v>933</v>
      </c>
      <c r="Q135" s="24" t="n">
        <v>20</v>
      </c>
    </row>
    <row r="136" customFormat="false" ht="23.85" hidden="false" customHeight="false" outlineLevel="0" collapsed="false">
      <c r="A136" s="23" t="s">
        <v>1619</v>
      </c>
      <c r="B136" s="24" t="s">
        <v>417</v>
      </c>
      <c r="C136" s="25" t="s">
        <v>418</v>
      </c>
      <c r="D136" s="25" t="str">
        <f aca="false">IFERROR(INDEX(Equipements!$B$6:$B$200,MATCH($B136,Equipements!$A$6:$A$200,0)),"?")</f>
        <v>Cuisine</v>
      </c>
      <c r="E136" s="26" t="s">
        <v>1620</v>
      </c>
      <c r="F136" s="24" t="s">
        <v>927</v>
      </c>
      <c r="G136" s="24" t="n">
        <v>6</v>
      </c>
      <c r="H136" s="25" t="s">
        <v>711</v>
      </c>
      <c r="I136" s="25" t="s">
        <v>1021</v>
      </c>
      <c r="J136" s="24" t="n">
        <v>15</v>
      </c>
      <c r="K136" s="25" t="s">
        <v>1621</v>
      </c>
      <c r="L136" s="25" t="s">
        <v>1622</v>
      </c>
      <c r="M136" s="25" t="s">
        <v>1623</v>
      </c>
      <c r="N136" s="24" t="s">
        <v>192</v>
      </c>
      <c r="O136" s="24" t="s">
        <v>56</v>
      </c>
      <c r="P136" s="23" t="s">
        <v>933</v>
      </c>
      <c r="Q136" s="24" t="n">
        <v>15</v>
      </c>
    </row>
    <row r="137" customFormat="false" ht="23.85" hidden="false" customHeight="false" outlineLevel="0" collapsed="false">
      <c r="A137" s="23" t="s">
        <v>1624</v>
      </c>
      <c r="B137" s="24" t="s">
        <v>443</v>
      </c>
      <c r="C137" s="25" t="s">
        <v>444</v>
      </c>
      <c r="D137" s="25" t="str">
        <f aca="false">IFERROR(INDEX(Equipements!$B$6:$B$200,MATCH($B137,Equipements!$A$6:$A$200,0)),"?")</f>
        <v>Cuisine</v>
      </c>
      <c r="E137" s="26" t="s">
        <v>1625</v>
      </c>
      <c r="F137" s="24" t="s">
        <v>927</v>
      </c>
      <c r="G137" s="24" t="n">
        <v>12</v>
      </c>
      <c r="H137" s="25" t="s">
        <v>1027</v>
      </c>
      <c r="I137" s="25" t="s">
        <v>929</v>
      </c>
      <c r="J137" s="24" t="n">
        <v>5</v>
      </c>
      <c r="K137" s="25" t="s">
        <v>1029</v>
      </c>
      <c r="L137" s="25" t="s">
        <v>1626</v>
      </c>
      <c r="M137" s="25" t="s">
        <v>1627</v>
      </c>
      <c r="N137" s="24" t="s">
        <v>192</v>
      </c>
      <c r="O137" s="24" t="s">
        <v>56</v>
      </c>
      <c r="P137" s="23" t="s">
        <v>933</v>
      </c>
      <c r="Q137" s="24" t="n">
        <v>5</v>
      </c>
    </row>
    <row r="138" customFormat="false" ht="23.85" hidden="false" customHeight="false" outlineLevel="0" collapsed="false">
      <c r="A138" s="23" t="s">
        <v>1628</v>
      </c>
      <c r="B138" s="24" t="s">
        <v>470</v>
      </c>
      <c r="C138" s="25" t="s">
        <v>471</v>
      </c>
      <c r="D138" s="25" t="str">
        <f aca="false">IFERROR(INDEX(Equipements!$B$6:$B$200,MATCH($B138,Equipements!$A$6:$A$200,0)),"?")</f>
        <v>Petit electromenager</v>
      </c>
      <c r="E138" s="26" t="s">
        <v>1629</v>
      </c>
      <c r="F138" s="24" t="s">
        <v>927</v>
      </c>
      <c r="G138" s="24" t="n">
        <v>9</v>
      </c>
      <c r="H138" s="25" t="s">
        <v>1630</v>
      </c>
      <c r="I138" s="25" t="s">
        <v>929</v>
      </c>
      <c r="J138" s="24" t="n">
        <v>10</v>
      </c>
      <c r="K138" s="25" t="s">
        <v>1631</v>
      </c>
      <c r="L138" s="25" t="s">
        <v>1632</v>
      </c>
      <c r="M138" s="25" t="s">
        <v>1633</v>
      </c>
      <c r="N138" s="24" t="s">
        <v>192</v>
      </c>
      <c r="O138" s="24" t="s">
        <v>56</v>
      </c>
      <c r="P138" s="23" t="s">
        <v>940</v>
      </c>
      <c r="Q138" s="24" t="n">
        <v>10</v>
      </c>
    </row>
    <row r="139" customFormat="false" ht="23.85" hidden="false" customHeight="false" outlineLevel="0" collapsed="false">
      <c r="A139" s="23" t="s">
        <v>1634</v>
      </c>
      <c r="B139" s="24" t="s">
        <v>478</v>
      </c>
      <c r="C139" s="25" t="s">
        <v>479</v>
      </c>
      <c r="D139" s="25" t="str">
        <f aca="false">IFERROR(INDEX(Equipements!$B$6:$B$200,MATCH($B139,Equipements!$A$6:$A$200,0)),"?")</f>
        <v>Petit electromenager</v>
      </c>
      <c r="E139" s="26" t="s">
        <v>1635</v>
      </c>
      <c r="F139" s="24" t="s">
        <v>927</v>
      </c>
      <c r="G139" s="24" t="n">
        <v>1</v>
      </c>
      <c r="H139" s="25" t="s">
        <v>1564</v>
      </c>
      <c r="I139" s="25" t="s">
        <v>949</v>
      </c>
      <c r="J139" s="24" t="n">
        <v>10</v>
      </c>
      <c r="K139" s="25" t="s">
        <v>1636</v>
      </c>
      <c r="L139" s="25" t="s">
        <v>1637</v>
      </c>
      <c r="M139" s="25" t="s">
        <v>1638</v>
      </c>
      <c r="N139" s="24" t="s">
        <v>192</v>
      </c>
      <c r="O139" s="24" t="s">
        <v>56</v>
      </c>
      <c r="P139" s="23" t="s">
        <v>940</v>
      </c>
      <c r="Q139" s="24" t="n">
        <v>10</v>
      </c>
    </row>
    <row r="140" customFormat="false" ht="23.85" hidden="false" customHeight="false" outlineLevel="0" collapsed="false">
      <c r="A140" s="23" t="s">
        <v>1639</v>
      </c>
      <c r="B140" s="24" t="s">
        <v>483</v>
      </c>
      <c r="C140" s="25" t="s">
        <v>484</v>
      </c>
      <c r="D140" s="25" t="str">
        <f aca="false">IFERROR(INDEX(Equipements!$B$6:$B$200,MATCH($B140,Equipements!$A$6:$A$200,0)),"?")</f>
        <v>Buanderie</v>
      </c>
      <c r="E140" s="26" t="s">
        <v>1640</v>
      </c>
      <c r="F140" s="24" t="s">
        <v>927</v>
      </c>
      <c r="G140" s="24" t="n">
        <v>2</v>
      </c>
      <c r="H140" s="25" t="s">
        <v>1257</v>
      </c>
      <c r="I140" s="25" t="s">
        <v>929</v>
      </c>
      <c r="J140" s="24" t="n">
        <v>20</v>
      </c>
      <c r="K140" s="25" t="s">
        <v>1641</v>
      </c>
      <c r="L140" s="25" t="s">
        <v>1642</v>
      </c>
      <c r="M140" s="25" t="s">
        <v>1643</v>
      </c>
      <c r="N140" s="24" t="s">
        <v>192</v>
      </c>
      <c r="O140" s="24" t="s">
        <v>56</v>
      </c>
      <c r="P140" s="23" t="s">
        <v>940</v>
      </c>
      <c r="Q140" s="24" t="n">
        <v>10</v>
      </c>
    </row>
    <row r="141" customFormat="false" ht="23.85" hidden="false" customHeight="false" outlineLevel="0" collapsed="false">
      <c r="A141" s="23" t="s">
        <v>1644</v>
      </c>
      <c r="B141" s="24" t="s">
        <v>496</v>
      </c>
      <c r="C141" s="25" t="s">
        <v>497</v>
      </c>
      <c r="D141" s="25" t="str">
        <f aca="false">IFERROR(INDEX(Equipements!$B$6:$B$200,MATCH($B141,Equipements!$A$6:$A$200,0)),"?")</f>
        <v>Maison &amp; securite</v>
      </c>
      <c r="E141" s="26" t="s">
        <v>1645</v>
      </c>
      <c r="F141" s="24" t="s">
        <v>927</v>
      </c>
      <c r="G141" s="24" t="n">
        <v>1</v>
      </c>
      <c r="H141" s="25" t="s">
        <v>928</v>
      </c>
      <c r="I141" s="25" t="s">
        <v>929</v>
      </c>
      <c r="J141" s="24" t="n">
        <v>5</v>
      </c>
      <c r="K141" s="25" t="s">
        <v>1646</v>
      </c>
      <c r="L141" s="25" t="s">
        <v>1647</v>
      </c>
      <c r="M141" s="25" t="s">
        <v>1648</v>
      </c>
      <c r="N141" s="24" t="s">
        <v>192</v>
      </c>
      <c r="O141" s="24" t="s">
        <v>56</v>
      </c>
      <c r="P141" s="23" t="s">
        <v>940</v>
      </c>
      <c r="Q141" s="24" t="n">
        <v>5</v>
      </c>
    </row>
    <row r="142" customFormat="false" ht="23.85" hidden="false" customHeight="false" outlineLevel="0" collapsed="false">
      <c r="A142" s="17" t="s">
        <v>1649</v>
      </c>
      <c r="B142" s="16" t="s">
        <v>519</v>
      </c>
      <c r="C142" s="19" t="s">
        <v>520</v>
      </c>
      <c r="D142" s="19" t="str">
        <f aca="false">IFERROR(INDEX(Equipements!$B$6:$B$200,MATCH($B142,Equipements!$A$6:$A$200,0)),"?")</f>
        <v>Maison &amp; securite</v>
      </c>
      <c r="E142" s="18" t="s">
        <v>1650</v>
      </c>
      <c r="F142" s="16" t="s">
        <v>927</v>
      </c>
      <c r="G142" s="16" t="n">
        <v>120</v>
      </c>
      <c r="H142" s="19" t="s">
        <v>1651</v>
      </c>
      <c r="I142" s="19" t="s">
        <v>1088</v>
      </c>
      <c r="J142" s="16" t="n">
        <v>60</v>
      </c>
      <c r="K142" s="19" t="s">
        <v>1652</v>
      </c>
      <c r="L142" s="19" t="s">
        <v>1653</v>
      </c>
      <c r="M142" s="19" t="s">
        <v>1654</v>
      </c>
      <c r="N142" s="17" t="s">
        <v>97</v>
      </c>
      <c r="O142" s="16" t="s">
        <v>58</v>
      </c>
      <c r="P142" s="17" t="s">
        <v>924</v>
      </c>
      <c r="Q142" s="16" t="n">
        <v>60</v>
      </c>
    </row>
    <row r="143" customFormat="false" ht="23.85" hidden="false" customHeight="false" outlineLevel="0" collapsed="false">
      <c r="A143" s="23" t="s">
        <v>1655</v>
      </c>
      <c r="B143" s="24" t="s">
        <v>537</v>
      </c>
      <c r="C143" s="25" t="s">
        <v>538</v>
      </c>
      <c r="D143" s="25" t="str">
        <f aca="false">IFERROR(INDEX(Equipements!$B$6:$B$200,MATCH($B143,Equipements!$A$6:$A$200,0)),"?")</f>
        <v>Maison &amp; securite</v>
      </c>
      <c r="E143" s="26" t="s">
        <v>1656</v>
      </c>
      <c r="F143" s="24" t="s">
        <v>927</v>
      </c>
      <c r="G143" s="24" t="n">
        <v>12</v>
      </c>
      <c r="H143" s="25" t="s">
        <v>1027</v>
      </c>
      <c r="I143" s="25" t="s">
        <v>1040</v>
      </c>
      <c r="J143" s="24" t="n">
        <v>20</v>
      </c>
      <c r="K143" s="25" t="s">
        <v>937</v>
      </c>
      <c r="L143" s="25" t="s">
        <v>1657</v>
      </c>
      <c r="M143" s="25" t="s">
        <v>1658</v>
      </c>
      <c r="N143" s="24" t="s">
        <v>192</v>
      </c>
      <c r="O143" s="24" t="s">
        <v>56</v>
      </c>
      <c r="P143" s="23" t="s">
        <v>940</v>
      </c>
      <c r="Q143" s="24" t="n">
        <v>20</v>
      </c>
    </row>
    <row r="144" customFormat="false" ht="23.85" hidden="false" customHeight="false" outlineLevel="0" collapsed="false">
      <c r="A144" s="13" t="s">
        <v>1659</v>
      </c>
      <c r="B144" s="27" t="s">
        <v>543</v>
      </c>
      <c r="C144" s="28" t="s">
        <v>544</v>
      </c>
      <c r="D144" s="28" t="str">
        <f aca="false">IFERROR(INDEX(Equipements!$B$6:$B$200,MATCH($B144,Equipements!$A$6:$A$200,0)),"?")</f>
        <v>Maison &amp; securite</v>
      </c>
      <c r="E144" s="12" t="s">
        <v>1660</v>
      </c>
      <c r="F144" s="27" t="s">
        <v>202</v>
      </c>
      <c r="G144" s="27" t="n">
        <v>24</v>
      </c>
      <c r="H144" s="28" t="s">
        <v>170</v>
      </c>
      <c r="I144" s="28" t="s">
        <v>1661</v>
      </c>
      <c r="J144" s="27" t="n">
        <v>30</v>
      </c>
      <c r="K144" s="28" t="s">
        <v>112</v>
      </c>
      <c r="L144" s="28" t="s">
        <v>1662</v>
      </c>
      <c r="M144" s="28" t="s">
        <v>1663</v>
      </c>
      <c r="N144" s="27" t="s">
        <v>192</v>
      </c>
      <c r="O144" s="27" t="s">
        <v>58</v>
      </c>
      <c r="P144" s="13" t="s">
        <v>940</v>
      </c>
      <c r="Q144" s="27" t="n">
        <v>0</v>
      </c>
    </row>
    <row r="145" customFormat="false" ht="23.85" hidden="false" customHeight="false" outlineLevel="0" collapsed="false">
      <c r="A145" s="13" t="s">
        <v>1664</v>
      </c>
      <c r="B145" s="27" t="s">
        <v>579</v>
      </c>
      <c r="C145" s="28" t="s">
        <v>580</v>
      </c>
      <c r="D145" s="28" t="str">
        <f aca="false">IFERROR(INDEX(Equipements!$B$6:$B$200,MATCH($B145,Equipements!$A$6:$A$200,0)),"?")</f>
        <v>Maison &amp; securite</v>
      </c>
      <c r="E145" s="12" t="s">
        <v>1665</v>
      </c>
      <c r="F145" s="27" t="s">
        <v>202</v>
      </c>
      <c r="G145" s="27" t="n">
        <v>30</v>
      </c>
      <c r="H145" s="28" t="s">
        <v>1666</v>
      </c>
      <c r="I145" s="28" t="s">
        <v>929</v>
      </c>
      <c r="J145" s="27" t="n">
        <v>90</v>
      </c>
      <c r="K145" s="28" t="s">
        <v>1667</v>
      </c>
      <c r="L145" s="28" t="s">
        <v>1668</v>
      </c>
      <c r="M145" s="28" t="s">
        <v>1669</v>
      </c>
      <c r="N145" s="27" t="s">
        <v>192</v>
      </c>
      <c r="O145" s="27" t="s">
        <v>60</v>
      </c>
      <c r="P145" s="13" t="s">
        <v>940</v>
      </c>
      <c r="Q145" s="27" t="n">
        <v>0</v>
      </c>
    </row>
    <row r="146" customFormat="false" ht="23.85" hidden="false" customHeight="false" outlineLevel="0" collapsed="false">
      <c r="A146" s="13" t="s">
        <v>1670</v>
      </c>
      <c r="B146" s="27" t="s">
        <v>598</v>
      </c>
      <c r="C146" s="28" t="s">
        <v>599</v>
      </c>
      <c r="D146" s="28" t="str">
        <f aca="false">IFERROR(INDEX(Equipements!$B$6:$B$200,MATCH($B146,Equipements!$A$6:$A$200,0)),"?")</f>
        <v>Energie</v>
      </c>
      <c r="E146" s="12" t="s">
        <v>1671</v>
      </c>
      <c r="F146" s="27" t="s">
        <v>202</v>
      </c>
      <c r="G146" s="27" t="n">
        <v>12</v>
      </c>
      <c r="H146" s="28" t="s">
        <v>1027</v>
      </c>
      <c r="I146" s="28" t="s">
        <v>929</v>
      </c>
      <c r="J146" s="27" t="n">
        <v>45</v>
      </c>
      <c r="K146" s="28" t="s">
        <v>112</v>
      </c>
      <c r="L146" s="28" t="s">
        <v>1672</v>
      </c>
      <c r="M146" s="28" t="s">
        <v>1673</v>
      </c>
      <c r="N146" s="27" t="s">
        <v>192</v>
      </c>
      <c r="O146" s="27" t="s">
        <v>58</v>
      </c>
      <c r="P146" s="13" t="s">
        <v>933</v>
      </c>
      <c r="Q146" s="27" t="n">
        <v>0</v>
      </c>
    </row>
    <row r="147" customFormat="false" ht="35.05" hidden="false" customHeight="false" outlineLevel="0" collapsed="false">
      <c r="A147" s="17" t="s">
        <v>1674</v>
      </c>
      <c r="B147" s="16" t="s">
        <v>622</v>
      </c>
      <c r="C147" s="19" t="s">
        <v>623</v>
      </c>
      <c r="D147" s="19" t="str">
        <f aca="false">IFERROR(INDEX(Equipements!$B$6:$B$200,MATCH($B147,Equipements!$A$6:$A$200,0)),"?")</f>
        <v>Energie</v>
      </c>
      <c r="E147" s="18" t="s">
        <v>1675</v>
      </c>
      <c r="F147" s="16" t="s">
        <v>202</v>
      </c>
      <c r="G147" s="16" t="n">
        <v>36</v>
      </c>
      <c r="H147" s="19" t="s">
        <v>1676</v>
      </c>
      <c r="I147" s="19" t="s">
        <v>1677</v>
      </c>
      <c r="J147" s="16" t="n">
        <v>90</v>
      </c>
      <c r="K147" s="19" t="s">
        <v>627</v>
      </c>
      <c r="L147" s="19" t="s">
        <v>1678</v>
      </c>
      <c r="M147" s="19" t="s">
        <v>1679</v>
      </c>
      <c r="N147" s="17" t="s">
        <v>97</v>
      </c>
      <c r="O147" s="16" t="s">
        <v>58</v>
      </c>
      <c r="P147" s="17" t="s">
        <v>924</v>
      </c>
      <c r="Q147" s="16" t="n">
        <v>0</v>
      </c>
    </row>
    <row r="148" customFormat="false" ht="23.85" hidden="false" customHeight="false" outlineLevel="0" collapsed="false">
      <c r="A148" s="13" t="s">
        <v>1680</v>
      </c>
      <c r="B148" s="27" t="s">
        <v>657</v>
      </c>
      <c r="C148" s="28" t="s">
        <v>658</v>
      </c>
      <c r="D148" s="28" t="str">
        <f aca="false">IFERROR(INDEX(Equipements!$B$6:$B$200,MATCH($B148,Equipements!$A$6:$A$200,0)),"?")</f>
        <v>Maison &amp; securite</v>
      </c>
      <c r="E148" s="12" t="s">
        <v>1681</v>
      </c>
      <c r="F148" s="27" t="s">
        <v>202</v>
      </c>
      <c r="G148" s="27" t="n">
        <v>12</v>
      </c>
      <c r="H148" s="28" t="s">
        <v>1027</v>
      </c>
      <c r="I148" s="28" t="s">
        <v>929</v>
      </c>
      <c r="J148" s="27" t="n">
        <v>15</v>
      </c>
      <c r="K148" s="28" t="s">
        <v>1682</v>
      </c>
      <c r="L148" s="28" t="s">
        <v>1683</v>
      </c>
      <c r="M148" s="28" t="s">
        <v>1684</v>
      </c>
      <c r="N148" s="27" t="s">
        <v>225</v>
      </c>
      <c r="O148" s="27" t="s">
        <v>58</v>
      </c>
      <c r="P148" s="13" t="s">
        <v>940</v>
      </c>
      <c r="Q148" s="27" t="n">
        <v>0</v>
      </c>
    </row>
    <row r="149" customFormat="false" ht="23.85" hidden="false" customHeight="false" outlineLevel="0" collapsed="false">
      <c r="A149" s="23" t="s">
        <v>1685</v>
      </c>
      <c r="B149" s="24" t="s">
        <v>674</v>
      </c>
      <c r="C149" s="25" t="s">
        <v>675</v>
      </c>
      <c r="D149" s="25" t="str">
        <f aca="false">IFERROR(INDEX(Equipements!$B$6:$B$200,MATCH($B149,Equipements!$A$6:$A$200,0)),"?")</f>
        <v>Maison &amp; securite</v>
      </c>
      <c r="E149" s="26" t="s">
        <v>1686</v>
      </c>
      <c r="F149" s="24" t="s">
        <v>927</v>
      </c>
      <c r="G149" s="24" t="n">
        <v>6</v>
      </c>
      <c r="H149" s="25" t="s">
        <v>711</v>
      </c>
      <c r="I149" s="25" t="s">
        <v>1021</v>
      </c>
      <c r="J149" s="24" t="n">
        <v>20</v>
      </c>
      <c r="K149" s="25" t="s">
        <v>1400</v>
      </c>
      <c r="L149" s="25" t="s">
        <v>1687</v>
      </c>
      <c r="M149" s="25" t="s">
        <v>1688</v>
      </c>
      <c r="N149" s="24" t="s">
        <v>192</v>
      </c>
      <c r="O149" s="24" t="s">
        <v>56</v>
      </c>
      <c r="P149" s="23" t="s">
        <v>940</v>
      </c>
      <c r="Q149" s="24" t="n">
        <v>20</v>
      </c>
    </row>
    <row r="150" customFormat="false" ht="23.85" hidden="false" customHeight="false" outlineLevel="0" collapsed="false">
      <c r="A150" s="23" t="s">
        <v>1689</v>
      </c>
      <c r="B150" s="24" t="s">
        <v>680</v>
      </c>
      <c r="C150" s="25" t="s">
        <v>681</v>
      </c>
      <c r="D150" s="25" t="str">
        <f aca="false">IFERROR(INDEX(Equipements!$B$6:$B$200,MATCH($B150,Equipements!$A$6:$A$200,0)),"?")</f>
        <v>Maison &amp; securite</v>
      </c>
      <c r="E150" s="26" t="s">
        <v>1690</v>
      </c>
      <c r="F150" s="24" t="s">
        <v>927</v>
      </c>
      <c r="G150" s="24" t="n">
        <v>12</v>
      </c>
      <c r="H150" s="25" t="s">
        <v>1027</v>
      </c>
      <c r="I150" s="25" t="s">
        <v>1040</v>
      </c>
      <c r="J150" s="24" t="n">
        <v>15</v>
      </c>
      <c r="K150" s="25" t="s">
        <v>1691</v>
      </c>
      <c r="L150" s="25" t="s">
        <v>1692</v>
      </c>
      <c r="M150" s="25" t="s">
        <v>1693</v>
      </c>
      <c r="N150" s="24" t="s">
        <v>192</v>
      </c>
      <c r="O150" s="24" t="s">
        <v>56</v>
      </c>
      <c r="P150" s="23" t="s">
        <v>940</v>
      </c>
      <c r="Q150" s="24" t="n">
        <v>15</v>
      </c>
    </row>
    <row r="151" customFormat="false" ht="23.85" hidden="false" customHeight="false" outlineLevel="0" collapsed="false">
      <c r="A151" s="23" t="s">
        <v>1694</v>
      </c>
      <c r="B151" s="24" t="s">
        <v>729</v>
      </c>
      <c r="C151" s="25" t="s">
        <v>730</v>
      </c>
      <c r="D151" s="25" t="str">
        <f aca="false">IFERROR(INDEX(Equipements!$B$6:$B$200,MATCH($B151,Equipements!$A$6:$A$200,0)),"?")</f>
        <v>Maison &amp; securite</v>
      </c>
      <c r="E151" s="26" t="s">
        <v>1695</v>
      </c>
      <c r="F151" s="24" t="s">
        <v>927</v>
      </c>
      <c r="G151" s="24" t="n">
        <v>12</v>
      </c>
      <c r="H151" s="25" t="s">
        <v>1027</v>
      </c>
      <c r="I151" s="25" t="s">
        <v>1501</v>
      </c>
      <c r="J151" s="24" t="n">
        <v>45</v>
      </c>
      <c r="K151" s="25" t="s">
        <v>1696</v>
      </c>
      <c r="L151" s="25" t="s">
        <v>1697</v>
      </c>
      <c r="M151" s="25" t="s">
        <v>1698</v>
      </c>
      <c r="N151" s="24" t="s">
        <v>192</v>
      </c>
      <c r="O151" s="24" t="s">
        <v>56</v>
      </c>
      <c r="P151" s="23" t="s">
        <v>940</v>
      </c>
      <c r="Q151" s="24" t="n">
        <v>45</v>
      </c>
    </row>
    <row r="152" customFormat="false" ht="23.85" hidden="false" customHeight="false" outlineLevel="0" collapsed="false">
      <c r="A152" s="17" t="s">
        <v>1699</v>
      </c>
      <c r="B152" s="16" t="s">
        <v>767</v>
      </c>
      <c r="C152" s="19" t="s">
        <v>768</v>
      </c>
      <c r="D152" s="19" t="str">
        <f aca="false">IFERROR(INDEX(Equipements!$B$6:$B$200,MATCH($B152,Equipements!$A$6:$A$200,0)),"?")</f>
        <v>Jardin &amp; piscine</v>
      </c>
      <c r="E152" s="18" t="s">
        <v>1700</v>
      </c>
      <c r="F152" s="16" t="s">
        <v>202</v>
      </c>
      <c r="G152" s="16" t="n">
        <v>24</v>
      </c>
      <c r="H152" s="19" t="s">
        <v>170</v>
      </c>
      <c r="I152" s="19" t="s">
        <v>1701</v>
      </c>
      <c r="J152" s="16" t="n">
        <v>60</v>
      </c>
      <c r="K152" s="19" t="s">
        <v>112</v>
      </c>
      <c r="L152" s="19" t="s">
        <v>1702</v>
      </c>
      <c r="M152" s="19" t="s">
        <v>1703</v>
      </c>
      <c r="N152" s="17" t="s">
        <v>97</v>
      </c>
      <c r="O152" s="16" t="s">
        <v>56</v>
      </c>
      <c r="P152" s="17" t="s">
        <v>924</v>
      </c>
      <c r="Q152" s="16" t="n">
        <v>0</v>
      </c>
    </row>
    <row r="153" customFormat="false" ht="23.85" hidden="false" customHeight="false" outlineLevel="0" collapsed="false">
      <c r="A153" s="23" t="s">
        <v>1704</v>
      </c>
      <c r="B153" s="24" t="s">
        <v>771</v>
      </c>
      <c r="C153" s="25" t="s">
        <v>772</v>
      </c>
      <c r="D153" s="25" t="str">
        <f aca="false">IFERROR(INDEX(Equipements!$B$6:$B$200,MATCH($B153,Equipements!$A$6:$A$200,0)),"?")</f>
        <v>Jardin &amp; piscine</v>
      </c>
      <c r="E153" s="26" t="s">
        <v>1705</v>
      </c>
      <c r="F153" s="24" t="s">
        <v>927</v>
      </c>
      <c r="G153" s="24" t="n">
        <v>1</v>
      </c>
      <c r="H153" s="25" t="s">
        <v>1706</v>
      </c>
      <c r="I153" s="25" t="s">
        <v>1424</v>
      </c>
      <c r="J153" s="24" t="n">
        <v>15</v>
      </c>
      <c r="K153" s="25" t="s">
        <v>1707</v>
      </c>
      <c r="L153" s="25" t="s">
        <v>1708</v>
      </c>
      <c r="M153" s="25" t="s">
        <v>1709</v>
      </c>
      <c r="N153" s="24" t="s">
        <v>192</v>
      </c>
      <c r="O153" s="24" t="s">
        <v>56</v>
      </c>
      <c r="P153" s="23" t="s">
        <v>940</v>
      </c>
      <c r="Q153" s="24" t="n">
        <v>15</v>
      </c>
    </row>
    <row r="154" customFormat="false" ht="23.85" hidden="false" customHeight="false" outlineLevel="0" collapsed="false">
      <c r="A154" s="23" t="s">
        <v>1710</v>
      </c>
      <c r="B154" s="24" t="s">
        <v>805</v>
      </c>
      <c r="C154" s="25" t="s">
        <v>806</v>
      </c>
      <c r="D154" s="25" t="str">
        <f aca="false">IFERROR(INDEX(Equipements!$B$6:$B$200,MATCH($B154,Equipements!$A$6:$A$200,0)),"?")</f>
        <v>Jardin &amp; piscine</v>
      </c>
      <c r="E154" s="26" t="s">
        <v>1711</v>
      </c>
      <c r="F154" s="24" t="s">
        <v>927</v>
      </c>
      <c r="G154" s="24" t="n">
        <v>12</v>
      </c>
      <c r="H154" s="25" t="s">
        <v>1027</v>
      </c>
      <c r="I154" s="25" t="s">
        <v>1712</v>
      </c>
      <c r="J154" s="24" t="n">
        <v>45</v>
      </c>
      <c r="K154" s="25" t="s">
        <v>1713</v>
      </c>
      <c r="L154" s="25" t="s">
        <v>1714</v>
      </c>
      <c r="M154" s="25" t="s">
        <v>1715</v>
      </c>
      <c r="N154" s="24" t="s">
        <v>192</v>
      </c>
      <c r="O154" s="24" t="s">
        <v>56</v>
      </c>
      <c r="P154" s="23" t="s">
        <v>940</v>
      </c>
      <c r="Q154" s="24" t="n">
        <v>45</v>
      </c>
    </row>
    <row r="155" customFormat="false" ht="23.85" hidden="false" customHeight="false" outlineLevel="0" collapsed="false">
      <c r="A155" s="23" t="s">
        <v>1716</v>
      </c>
      <c r="B155" s="24" t="s">
        <v>827</v>
      </c>
      <c r="C155" s="25" t="s">
        <v>828</v>
      </c>
      <c r="D155" s="25" t="str">
        <f aca="false">IFERROR(INDEX(Equipements!$B$6:$B$200,MATCH($B155,Equipements!$A$6:$A$200,0)),"?")</f>
        <v>Jardin &amp; piscine</v>
      </c>
      <c r="E155" s="26" t="s">
        <v>1717</v>
      </c>
      <c r="F155" s="24" t="s">
        <v>927</v>
      </c>
      <c r="G155" s="24" t="n">
        <v>30</v>
      </c>
      <c r="H155" s="25" t="s">
        <v>1666</v>
      </c>
      <c r="I155" s="25" t="s">
        <v>1718</v>
      </c>
      <c r="J155" s="24" t="n">
        <v>240</v>
      </c>
      <c r="K155" s="25" t="s">
        <v>1719</v>
      </c>
      <c r="L155" s="25" t="s">
        <v>1720</v>
      </c>
      <c r="M155" s="25" t="s">
        <v>1721</v>
      </c>
      <c r="N155" s="24" t="s">
        <v>192</v>
      </c>
      <c r="O155" s="24" t="s">
        <v>56</v>
      </c>
      <c r="P155" s="23" t="s">
        <v>940</v>
      </c>
      <c r="Q155" s="24" t="n">
        <v>180</v>
      </c>
    </row>
    <row r="156" customFormat="false" ht="23.85" hidden="false" customHeight="false" outlineLevel="0" collapsed="false">
      <c r="A156" s="23" t="s">
        <v>1722</v>
      </c>
      <c r="B156" s="24" t="s">
        <v>845</v>
      </c>
      <c r="C156" s="25" t="s">
        <v>846</v>
      </c>
      <c r="D156" s="25" t="str">
        <f aca="false">IFERROR(INDEX(Equipements!$B$6:$B$200,MATCH($B156,Equipements!$A$6:$A$200,0)),"?")</f>
        <v>Maison &amp; securite</v>
      </c>
      <c r="E156" s="26" t="s">
        <v>1723</v>
      </c>
      <c r="F156" s="24" t="s">
        <v>927</v>
      </c>
      <c r="G156" s="24" t="n">
        <v>12</v>
      </c>
      <c r="H156" s="25" t="s">
        <v>1027</v>
      </c>
      <c r="I156" s="25" t="s">
        <v>1724</v>
      </c>
      <c r="J156" s="24" t="n">
        <v>30</v>
      </c>
      <c r="K156" s="25" t="s">
        <v>1513</v>
      </c>
      <c r="L156" s="25" t="s">
        <v>1725</v>
      </c>
      <c r="M156" s="25" t="s">
        <v>1726</v>
      </c>
      <c r="N156" s="24" t="s">
        <v>225</v>
      </c>
      <c r="O156" s="24" t="s">
        <v>56</v>
      </c>
      <c r="P156" s="23" t="s">
        <v>940</v>
      </c>
      <c r="Q156" s="24" t="n">
        <v>30</v>
      </c>
    </row>
    <row r="157" customFormat="false" ht="35.05" hidden="false" customHeight="false" outlineLevel="0" collapsed="false">
      <c r="A157" s="17" t="s">
        <v>1727</v>
      </c>
      <c r="B157" s="16" t="s">
        <v>872</v>
      </c>
      <c r="C157" s="19" t="s">
        <v>873</v>
      </c>
      <c r="D157" s="19" t="str">
        <f aca="false">IFERROR(INDEX(Equipements!$B$6:$B$200,MATCH($B157,Equipements!$A$6:$A$200,0)),"?")</f>
        <v>Vehicules</v>
      </c>
      <c r="E157" s="18" t="s">
        <v>1728</v>
      </c>
      <c r="F157" s="16" t="s">
        <v>202</v>
      </c>
      <c r="G157" s="16" t="n">
        <v>24</v>
      </c>
      <c r="H157" s="19" t="s">
        <v>1729</v>
      </c>
      <c r="I157" s="19" t="s">
        <v>1369</v>
      </c>
      <c r="J157" s="16" t="n">
        <v>60</v>
      </c>
      <c r="K157" s="19" t="s">
        <v>1730</v>
      </c>
      <c r="L157" s="19" t="s">
        <v>1731</v>
      </c>
      <c r="M157" s="19" t="s">
        <v>879</v>
      </c>
      <c r="N157" s="17" t="s">
        <v>97</v>
      </c>
      <c r="O157" s="16" t="s">
        <v>56</v>
      </c>
      <c r="P157" s="17" t="s">
        <v>924</v>
      </c>
      <c r="Q157" s="16" t="n">
        <v>0</v>
      </c>
    </row>
    <row r="158" customFormat="false" ht="35.05" hidden="false" customHeight="false" outlineLevel="0" collapsed="false">
      <c r="A158" s="17" t="s">
        <v>1732</v>
      </c>
      <c r="B158" s="16" t="s">
        <v>883</v>
      </c>
      <c r="C158" s="19" t="s">
        <v>884</v>
      </c>
      <c r="D158" s="19" t="str">
        <f aca="false">IFERROR(INDEX(Equipements!$B$6:$B$200,MATCH($B158,Equipements!$A$6:$A$200,0)),"?")</f>
        <v>Vehicules</v>
      </c>
      <c r="E158" s="18" t="s">
        <v>1733</v>
      </c>
      <c r="F158" s="16" t="s">
        <v>202</v>
      </c>
      <c r="G158" s="16" t="n">
        <v>36</v>
      </c>
      <c r="H158" s="19" t="s">
        <v>1734</v>
      </c>
      <c r="I158" s="19" t="s">
        <v>1369</v>
      </c>
      <c r="J158" s="16" t="n">
        <v>45</v>
      </c>
      <c r="K158" s="19" t="s">
        <v>1735</v>
      </c>
      <c r="L158" s="19" t="s">
        <v>1736</v>
      </c>
      <c r="M158" s="19" t="s">
        <v>889</v>
      </c>
      <c r="N158" s="17" t="s">
        <v>97</v>
      </c>
      <c r="O158" s="16" t="s">
        <v>56</v>
      </c>
      <c r="P158" s="17" t="s">
        <v>924</v>
      </c>
      <c r="Q158" s="16" t="n">
        <v>0</v>
      </c>
    </row>
    <row r="159" customFormat="false" ht="35.05" hidden="false" customHeight="false" outlineLevel="0" collapsed="false">
      <c r="A159" s="13" t="s">
        <v>1737</v>
      </c>
      <c r="B159" s="27" t="s">
        <v>891</v>
      </c>
      <c r="C159" s="28" t="s">
        <v>892</v>
      </c>
      <c r="D159" s="28" t="str">
        <f aca="false">IFERROR(INDEX(Equipements!$B$6:$B$200,MATCH($B159,Equipements!$A$6:$A$200,0)),"?")</f>
        <v>Vehicules</v>
      </c>
      <c r="E159" s="12" t="s">
        <v>1738</v>
      </c>
      <c r="F159" s="27" t="s">
        <v>202</v>
      </c>
      <c r="G159" s="27" t="n">
        <v>12</v>
      </c>
      <c r="H159" s="28" t="s">
        <v>1027</v>
      </c>
      <c r="I159" s="28" t="s">
        <v>1040</v>
      </c>
      <c r="J159" s="27" t="n">
        <v>60</v>
      </c>
      <c r="K159" s="28" t="s">
        <v>1739</v>
      </c>
      <c r="L159" s="28" t="s">
        <v>1740</v>
      </c>
      <c r="M159" s="28" t="s">
        <v>1741</v>
      </c>
      <c r="N159" s="27" t="s">
        <v>192</v>
      </c>
      <c r="O159" s="27" t="s">
        <v>56</v>
      </c>
      <c r="P159" s="13" t="s">
        <v>933</v>
      </c>
      <c r="Q159" s="27" t="n">
        <v>0</v>
      </c>
    </row>
  </sheetData>
  <autoFilter ref="A5:Q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1742</v>
      </c>
    </row>
    <row r="3" customFormat="false" ht="15" hidden="false" customHeight="false" outlineLevel="0" collapsed="false">
      <c r="A3" s="2" t="s">
        <v>1743</v>
      </c>
    </row>
    <row r="5" customFormat="false" ht="31.5" hidden="false" customHeight="true" outlineLevel="0" collapsed="false">
      <c r="A5" s="9" t="s">
        <v>79</v>
      </c>
      <c r="B5" s="9" t="s">
        <v>1744</v>
      </c>
      <c r="C5" s="9" t="s">
        <v>1745</v>
      </c>
      <c r="D5" s="9" t="s">
        <v>1746</v>
      </c>
      <c r="E5" s="9" t="s">
        <v>1747</v>
      </c>
      <c r="F5" s="9" t="s">
        <v>1748</v>
      </c>
      <c r="G5" s="9" t="s">
        <v>1749</v>
      </c>
      <c r="H5" s="9" t="s">
        <v>1750</v>
      </c>
      <c r="I5" s="9" t="s">
        <v>1751</v>
      </c>
      <c r="J5" s="9" t="s">
        <v>1752</v>
      </c>
      <c r="K5" s="9" t="s">
        <v>1753</v>
      </c>
      <c r="L5" s="9" t="s">
        <v>1754</v>
      </c>
      <c r="M5" s="9" t="s">
        <v>1755</v>
      </c>
    </row>
    <row r="6" customFormat="false" ht="15" hidden="false" customHeight="false" outlineLevel="0" collapsed="false">
      <c r="A6" s="29" t="s">
        <v>1756</v>
      </c>
      <c r="B6" s="29" t="s">
        <v>1757</v>
      </c>
      <c r="C6" s="29" t="n">
        <v>1</v>
      </c>
      <c r="D6" s="30" t="s">
        <v>1758</v>
      </c>
      <c r="E6" s="29" t="s">
        <v>1759</v>
      </c>
      <c r="F6" s="30" t="s">
        <v>1760</v>
      </c>
      <c r="G6" s="21" t="s">
        <v>154</v>
      </c>
      <c r="H6" s="21" t="s">
        <v>154</v>
      </c>
      <c r="I6" s="21" t="s">
        <v>1761</v>
      </c>
      <c r="J6" s="21" t="s">
        <v>154</v>
      </c>
      <c r="K6" s="21" t="s">
        <v>154</v>
      </c>
      <c r="L6" s="21" t="s">
        <v>1762</v>
      </c>
      <c r="M6" s="21" t="s">
        <v>154</v>
      </c>
    </row>
    <row r="7" customFormat="false" ht="15" hidden="false" customHeight="false" outlineLevel="0" collapsed="false">
      <c r="A7" s="29" t="s">
        <v>1756</v>
      </c>
      <c r="B7" s="29" t="s">
        <v>1757</v>
      </c>
      <c r="C7" s="29" t="n">
        <v>1</v>
      </c>
      <c r="D7" s="30" t="s">
        <v>1758</v>
      </c>
      <c r="E7" s="29" t="s">
        <v>1759</v>
      </c>
      <c r="F7" s="30" t="s">
        <v>1763</v>
      </c>
      <c r="G7" s="21" t="s">
        <v>154</v>
      </c>
      <c r="H7" s="21" t="s">
        <v>154</v>
      </c>
      <c r="I7" s="21" t="s">
        <v>1764</v>
      </c>
      <c r="J7" s="21" t="s">
        <v>154</v>
      </c>
      <c r="K7" s="21" t="s">
        <v>154</v>
      </c>
      <c r="L7" s="21" t="s">
        <v>1765</v>
      </c>
      <c r="M7" s="21" t="s">
        <v>154</v>
      </c>
    </row>
    <row r="8" customFormat="false" ht="35.05" hidden="false" customHeight="false" outlineLevel="0" collapsed="false">
      <c r="A8" s="29" t="s">
        <v>1756</v>
      </c>
      <c r="B8" s="29" t="s">
        <v>1757</v>
      </c>
      <c r="C8" s="29" t="n">
        <v>1</v>
      </c>
      <c r="D8" s="30" t="s">
        <v>1758</v>
      </c>
      <c r="E8" s="29" t="s">
        <v>1759</v>
      </c>
      <c r="F8" s="30" t="s">
        <v>1766</v>
      </c>
      <c r="G8" s="21" t="s">
        <v>154</v>
      </c>
      <c r="H8" s="21" t="s">
        <v>154</v>
      </c>
      <c r="I8" s="21" t="s">
        <v>1767</v>
      </c>
      <c r="J8" s="21" t="s">
        <v>154</v>
      </c>
      <c r="K8" s="21" t="s">
        <v>154</v>
      </c>
      <c r="L8" s="21" t="s">
        <v>1768</v>
      </c>
      <c r="M8" s="21" t="s">
        <v>154</v>
      </c>
    </row>
    <row r="9" customFormat="false" ht="15" hidden="false" customHeight="false" outlineLevel="0" collapsed="false">
      <c r="A9" s="29" t="s">
        <v>1756</v>
      </c>
      <c r="B9" s="29" t="s">
        <v>1757</v>
      </c>
      <c r="C9" s="29" t="n">
        <v>1</v>
      </c>
      <c r="D9" s="30" t="s">
        <v>1758</v>
      </c>
      <c r="E9" s="29" t="s">
        <v>1759</v>
      </c>
      <c r="F9" s="30" t="s">
        <v>1769</v>
      </c>
      <c r="G9" s="21" t="s">
        <v>154</v>
      </c>
      <c r="H9" s="21" t="s">
        <v>154</v>
      </c>
      <c r="I9" s="21" t="s">
        <v>1770</v>
      </c>
      <c r="J9" s="21" t="s">
        <v>154</v>
      </c>
      <c r="K9" s="21" t="s">
        <v>154</v>
      </c>
      <c r="L9" s="21" t="s">
        <v>1771</v>
      </c>
      <c r="M9" s="21" t="s">
        <v>154</v>
      </c>
    </row>
    <row r="10" customFormat="false" ht="23.85" hidden="false" customHeight="false" outlineLevel="0" collapsed="false">
      <c r="A10" s="16" t="s">
        <v>1772</v>
      </c>
      <c r="B10" s="16" t="s">
        <v>1773</v>
      </c>
      <c r="C10" s="16" t="n">
        <v>2</v>
      </c>
      <c r="D10" s="18" t="s">
        <v>1774</v>
      </c>
      <c r="E10" s="16" t="s">
        <v>1759</v>
      </c>
      <c r="F10" s="18" t="s">
        <v>1775</v>
      </c>
      <c r="G10" s="19" t="s">
        <v>93</v>
      </c>
      <c r="H10" s="19" t="s">
        <v>1776</v>
      </c>
      <c r="I10" s="19" t="s">
        <v>154</v>
      </c>
      <c r="J10" s="19" t="s">
        <v>156</v>
      </c>
      <c r="K10" s="19" t="s">
        <v>154</v>
      </c>
      <c r="L10" s="19" t="s">
        <v>154</v>
      </c>
      <c r="M10" s="19" t="s">
        <v>154</v>
      </c>
    </row>
    <row r="11" customFormat="false" ht="23.85" hidden="false" customHeight="false" outlineLevel="0" collapsed="false">
      <c r="A11" s="16" t="s">
        <v>1772</v>
      </c>
      <c r="B11" s="16" t="s">
        <v>1773</v>
      </c>
      <c r="C11" s="16" t="n">
        <v>2</v>
      </c>
      <c r="D11" s="18" t="s">
        <v>1774</v>
      </c>
      <c r="E11" s="16" t="s">
        <v>1759</v>
      </c>
      <c r="F11" s="18" t="s">
        <v>1777</v>
      </c>
      <c r="G11" s="19" t="s">
        <v>1778</v>
      </c>
      <c r="H11" s="19" t="s">
        <v>1776</v>
      </c>
      <c r="I11" s="19" t="s">
        <v>154</v>
      </c>
      <c r="J11" s="19" t="s">
        <v>156</v>
      </c>
      <c r="K11" s="19" t="s">
        <v>154</v>
      </c>
      <c r="L11" s="19" t="s">
        <v>154</v>
      </c>
      <c r="M11" s="19" t="s">
        <v>154</v>
      </c>
    </row>
    <row r="12" customFormat="false" ht="23.85" hidden="false" customHeight="false" outlineLevel="0" collapsed="false">
      <c r="A12" s="16" t="s">
        <v>1772</v>
      </c>
      <c r="B12" s="16" t="s">
        <v>1773</v>
      </c>
      <c r="C12" s="16" t="n">
        <v>2</v>
      </c>
      <c r="D12" s="18" t="s">
        <v>1774</v>
      </c>
      <c r="E12" s="16" t="s">
        <v>1759</v>
      </c>
      <c r="F12" s="18" t="s">
        <v>1779</v>
      </c>
      <c r="G12" s="19" t="s">
        <v>1780</v>
      </c>
      <c r="H12" s="19" t="s">
        <v>154</v>
      </c>
      <c r="I12" s="19" t="s">
        <v>1781</v>
      </c>
      <c r="J12" s="19" t="s">
        <v>154</v>
      </c>
      <c r="K12" s="19" t="s">
        <v>154</v>
      </c>
      <c r="L12" s="19" t="s">
        <v>154</v>
      </c>
      <c r="M12" s="19" t="s">
        <v>154</v>
      </c>
    </row>
    <row r="13" customFormat="false" ht="23.85" hidden="false" customHeight="false" outlineLevel="0" collapsed="false">
      <c r="A13" s="16" t="s">
        <v>1772</v>
      </c>
      <c r="B13" s="16" t="s">
        <v>1773</v>
      </c>
      <c r="C13" s="16" t="n">
        <v>2</v>
      </c>
      <c r="D13" s="18" t="s">
        <v>1774</v>
      </c>
      <c r="E13" s="16" t="s">
        <v>1759</v>
      </c>
      <c r="F13" s="18" t="s">
        <v>1782</v>
      </c>
      <c r="G13" s="19" t="s">
        <v>1783</v>
      </c>
      <c r="H13" s="19" t="s">
        <v>154</v>
      </c>
      <c r="I13" s="19" t="s">
        <v>1784</v>
      </c>
      <c r="J13" s="19" t="s">
        <v>154</v>
      </c>
      <c r="K13" s="19" t="s">
        <v>154</v>
      </c>
      <c r="L13" s="19" t="s">
        <v>154</v>
      </c>
      <c r="M13" s="19" t="s">
        <v>154</v>
      </c>
    </row>
    <row r="14" customFormat="false" ht="23.85" hidden="false" customHeight="false" outlineLevel="0" collapsed="false">
      <c r="A14" s="16" t="s">
        <v>1772</v>
      </c>
      <c r="B14" s="16" t="s">
        <v>1773</v>
      </c>
      <c r="C14" s="16" t="n">
        <v>2</v>
      </c>
      <c r="D14" s="18" t="s">
        <v>1774</v>
      </c>
      <c r="E14" s="16" t="s">
        <v>1759</v>
      </c>
      <c r="F14" s="18" t="s">
        <v>1785</v>
      </c>
      <c r="G14" s="19" t="s">
        <v>1786</v>
      </c>
      <c r="H14" s="19" t="s">
        <v>154</v>
      </c>
      <c r="I14" s="19" t="s">
        <v>1784</v>
      </c>
      <c r="J14" s="19" t="s">
        <v>154</v>
      </c>
      <c r="K14" s="19" t="s">
        <v>154</v>
      </c>
      <c r="L14" s="19" t="s">
        <v>154</v>
      </c>
      <c r="M14" s="19" t="s">
        <v>154</v>
      </c>
    </row>
    <row r="15" customFormat="false" ht="23.85" hidden="false" customHeight="false" outlineLevel="0" collapsed="false">
      <c r="A15" s="16" t="s">
        <v>1772</v>
      </c>
      <c r="B15" s="16" t="s">
        <v>1773</v>
      </c>
      <c r="C15" s="16" t="n">
        <v>2</v>
      </c>
      <c r="D15" s="18" t="s">
        <v>1774</v>
      </c>
      <c r="E15" s="16" t="s">
        <v>1759</v>
      </c>
      <c r="F15" s="18" t="s">
        <v>1787</v>
      </c>
      <c r="G15" s="19" t="s">
        <v>1788</v>
      </c>
      <c r="H15" s="19" t="s">
        <v>154</v>
      </c>
      <c r="I15" s="19" t="s">
        <v>1784</v>
      </c>
      <c r="J15" s="19" t="s">
        <v>154</v>
      </c>
      <c r="K15" s="19" t="s">
        <v>154</v>
      </c>
      <c r="L15" s="19" t="s">
        <v>154</v>
      </c>
      <c r="M15" s="19" t="s">
        <v>154</v>
      </c>
    </row>
    <row r="16" customFormat="false" ht="23.85" hidden="false" customHeight="false" outlineLevel="0" collapsed="false">
      <c r="A16" s="16" t="s">
        <v>1772</v>
      </c>
      <c r="B16" s="16" t="s">
        <v>1773</v>
      </c>
      <c r="C16" s="16" t="n">
        <v>2</v>
      </c>
      <c r="D16" s="18" t="s">
        <v>1774</v>
      </c>
      <c r="E16" s="16" t="s">
        <v>1759</v>
      </c>
      <c r="F16" s="18" t="s">
        <v>1789</v>
      </c>
      <c r="G16" s="19" t="s">
        <v>167</v>
      </c>
      <c r="H16" s="19" t="s">
        <v>154</v>
      </c>
      <c r="I16" s="19" t="s">
        <v>1790</v>
      </c>
      <c r="J16" s="19" t="s">
        <v>154</v>
      </c>
      <c r="K16" s="19" t="s">
        <v>154</v>
      </c>
      <c r="L16" s="19" t="s">
        <v>154</v>
      </c>
      <c r="M16" s="19" t="s">
        <v>154</v>
      </c>
    </row>
    <row r="17" customFormat="false" ht="23.85" hidden="false" customHeight="false" outlineLevel="0" collapsed="false">
      <c r="A17" s="16" t="s">
        <v>1772</v>
      </c>
      <c r="B17" s="16" t="s">
        <v>1773</v>
      </c>
      <c r="C17" s="16" t="n">
        <v>2</v>
      </c>
      <c r="D17" s="18" t="s">
        <v>1774</v>
      </c>
      <c r="E17" s="16" t="s">
        <v>1759</v>
      </c>
      <c r="F17" s="18" t="s">
        <v>1791</v>
      </c>
      <c r="G17" s="19" t="s">
        <v>176</v>
      </c>
      <c r="H17" s="19" t="s">
        <v>154</v>
      </c>
      <c r="I17" s="19" t="s">
        <v>1792</v>
      </c>
      <c r="J17" s="19" t="s">
        <v>154</v>
      </c>
      <c r="K17" s="19" t="s">
        <v>154</v>
      </c>
      <c r="L17" s="19" t="s">
        <v>154</v>
      </c>
      <c r="M17" s="19" t="s">
        <v>154</v>
      </c>
    </row>
    <row r="18" customFormat="false" ht="23.85" hidden="false" customHeight="false" outlineLevel="0" collapsed="false">
      <c r="A18" s="16" t="s">
        <v>1772</v>
      </c>
      <c r="B18" s="16" t="s">
        <v>1773</v>
      </c>
      <c r="C18" s="16" t="n">
        <v>2</v>
      </c>
      <c r="D18" s="18" t="s">
        <v>1774</v>
      </c>
      <c r="E18" s="16" t="s">
        <v>1759</v>
      </c>
      <c r="F18" s="18" t="s">
        <v>1793</v>
      </c>
      <c r="G18" s="19" t="s">
        <v>183</v>
      </c>
      <c r="H18" s="19" t="s">
        <v>154</v>
      </c>
      <c r="I18" s="19" t="s">
        <v>154</v>
      </c>
      <c r="J18" s="19" t="s">
        <v>154</v>
      </c>
      <c r="K18" s="19" t="s">
        <v>154</v>
      </c>
      <c r="L18" s="19" t="s">
        <v>154</v>
      </c>
      <c r="M18" s="19" t="s">
        <v>154</v>
      </c>
    </row>
    <row r="19" customFormat="false" ht="23.85" hidden="false" customHeight="false" outlineLevel="0" collapsed="false">
      <c r="A19" s="16" t="s">
        <v>1772</v>
      </c>
      <c r="B19" s="16" t="s">
        <v>1773</v>
      </c>
      <c r="C19" s="16" t="n">
        <v>2</v>
      </c>
      <c r="D19" s="18" t="s">
        <v>1774</v>
      </c>
      <c r="E19" s="16" t="s">
        <v>1759</v>
      </c>
      <c r="F19" s="18" t="s">
        <v>1794</v>
      </c>
      <c r="G19" s="19" t="s">
        <v>216</v>
      </c>
      <c r="H19" s="19" t="s">
        <v>154</v>
      </c>
      <c r="I19" s="19" t="s">
        <v>1795</v>
      </c>
      <c r="J19" s="19" t="s">
        <v>154</v>
      </c>
      <c r="K19" s="19" t="s">
        <v>154</v>
      </c>
      <c r="L19" s="19" t="s">
        <v>154</v>
      </c>
      <c r="M19" s="19" t="s">
        <v>154</v>
      </c>
    </row>
    <row r="20" customFormat="false" ht="35.05" hidden="false" customHeight="false" outlineLevel="0" collapsed="false">
      <c r="A20" s="16" t="s">
        <v>1772</v>
      </c>
      <c r="B20" s="16" t="s">
        <v>1773</v>
      </c>
      <c r="C20" s="16" t="n">
        <v>2</v>
      </c>
      <c r="D20" s="18" t="s">
        <v>1774</v>
      </c>
      <c r="E20" s="16" t="s">
        <v>1759</v>
      </c>
      <c r="F20" s="18" t="s">
        <v>1796</v>
      </c>
      <c r="G20" s="19" t="s">
        <v>154</v>
      </c>
      <c r="H20" s="19" t="s">
        <v>154</v>
      </c>
      <c r="I20" s="19" t="s">
        <v>1797</v>
      </c>
      <c r="J20" s="19" t="s">
        <v>154</v>
      </c>
      <c r="K20" s="19" t="s">
        <v>154</v>
      </c>
      <c r="L20" s="19" t="s">
        <v>154</v>
      </c>
      <c r="M20" s="19" t="s">
        <v>154</v>
      </c>
    </row>
    <row r="21" customFormat="false" ht="23.85" hidden="false" customHeight="false" outlineLevel="0" collapsed="false">
      <c r="A21" s="16" t="s">
        <v>1798</v>
      </c>
      <c r="B21" s="16" t="s">
        <v>1773</v>
      </c>
      <c r="C21" s="16" t="n">
        <v>3</v>
      </c>
      <c r="D21" s="18" t="s">
        <v>1799</v>
      </c>
      <c r="E21" s="16" t="s">
        <v>1800</v>
      </c>
      <c r="F21" s="18" t="s">
        <v>146</v>
      </c>
      <c r="G21" s="19" t="s">
        <v>145</v>
      </c>
      <c r="H21" s="19" t="s">
        <v>154</v>
      </c>
      <c r="I21" s="19" t="s">
        <v>1801</v>
      </c>
      <c r="J21" s="19" t="s">
        <v>154</v>
      </c>
      <c r="K21" s="19" t="s">
        <v>1802</v>
      </c>
      <c r="L21" s="19" t="s">
        <v>154</v>
      </c>
      <c r="M21" s="19" t="s">
        <v>154</v>
      </c>
    </row>
    <row r="22" customFormat="false" ht="23.85" hidden="false" customHeight="false" outlineLevel="0" collapsed="false">
      <c r="A22" s="16" t="s">
        <v>1798</v>
      </c>
      <c r="B22" s="16" t="s">
        <v>1773</v>
      </c>
      <c r="C22" s="16" t="n">
        <v>3</v>
      </c>
      <c r="D22" s="18" t="s">
        <v>1799</v>
      </c>
      <c r="E22" s="16" t="s">
        <v>1800</v>
      </c>
      <c r="F22" s="18" t="s">
        <v>1803</v>
      </c>
      <c r="G22" s="19" t="s">
        <v>1786</v>
      </c>
      <c r="H22" s="19" t="s">
        <v>154</v>
      </c>
      <c r="I22" s="19" t="s">
        <v>154</v>
      </c>
      <c r="J22" s="19" t="s">
        <v>154</v>
      </c>
      <c r="K22" s="19" t="s">
        <v>1802</v>
      </c>
      <c r="L22" s="19" t="s">
        <v>154</v>
      </c>
      <c r="M22" s="19" t="s">
        <v>154</v>
      </c>
    </row>
    <row r="23" customFormat="false" ht="23.85" hidden="false" customHeight="false" outlineLevel="0" collapsed="false">
      <c r="A23" s="16" t="s">
        <v>1798</v>
      </c>
      <c r="B23" s="16" t="s">
        <v>1773</v>
      </c>
      <c r="C23" s="16" t="n">
        <v>3</v>
      </c>
      <c r="D23" s="18" t="s">
        <v>1799</v>
      </c>
      <c r="E23" s="16" t="s">
        <v>1800</v>
      </c>
      <c r="F23" s="18" t="s">
        <v>1787</v>
      </c>
      <c r="G23" s="19" t="s">
        <v>1788</v>
      </c>
      <c r="H23" s="19" t="s">
        <v>154</v>
      </c>
      <c r="I23" s="19" t="s">
        <v>154</v>
      </c>
      <c r="J23" s="19" t="s">
        <v>154</v>
      </c>
      <c r="K23" s="19" t="s">
        <v>1802</v>
      </c>
      <c r="L23" s="19" t="s">
        <v>154</v>
      </c>
      <c r="M23" s="19" t="s">
        <v>154</v>
      </c>
    </row>
    <row r="24" customFormat="false" ht="23.85" hidden="false" customHeight="false" outlineLevel="0" collapsed="false">
      <c r="A24" s="16" t="s">
        <v>1798</v>
      </c>
      <c r="B24" s="16" t="s">
        <v>1773</v>
      </c>
      <c r="C24" s="16" t="n">
        <v>3</v>
      </c>
      <c r="D24" s="18" t="s">
        <v>1799</v>
      </c>
      <c r="E24" s="16" t="s">
        <v>1800</v>
      </c>
      <c r="F24" s="18" t="s">
        <v>192</v>
      </c>
      <c r="G24" s="19" t="s">
        <v>154</v>
      </c>
      <c r="H24" s="19" t="s">
        <v>154</v>
      </c>
      <c r="I24" s="19" t="s">
        <v>154</v>
      </c>
      <c r="J24" s="19" t="s">
        <v>154</v>
      </c>
      <c r="K24" s="19" t="s">
        <v>1802</v>
      </c>
      <c r="L24" s="19" t="s">
        <v>154</v>
      </c>
      <c r="M24" s="19" t="s">
        <v>154</v>
      </c>
    </row>
    <row r="25" customFormat="false" ht="23.85" hidden="false" customHeight="false" outlineLevel="0" collapsed="false">
      <c r="A25" s="16" t="s">
        <v>1798</v>
      </c>
      <c r="B25" s="16" t="s">
        <v>1773</v>
      </c>
      <c r="C25" s="16" t="n">
        <v>3</v>
      </c>
      <c r="D25" s="18" t="s">
        <v>1799</v>
      </c>
      <c r="E25" s="16" t="s">
        <v>1800</v>
      </c>
      <c r="F25" s="18" t="s">
        <v>1796</v>
      </c>
      <c r="G25" s="19" t="s">
        <v>154</v>
      </c>
      <c r="H25" s="19" t="s">
        <v>154</v>
      </c>
      <c r="I25" s="19" t="s">
        <v>154</v>
      </c>
      <c r="J25" s="19" t="s">
        <v>154</v>
      </c>
      <c r="K25" s="19" t="s">
        <v>1802</v>
      </c>
      <c r="L25" s="19" t="s">
        <v>154</v>
      </c>
      <c r="M25" s="19" t="s">
        <v>154</v>
      </c>
    </row>
    <row r="26" customFormat="false" ht="23.85" hidden="false" customHeight="false" outlineLevel="0" collapsed="false">
      <c r="A26" s="16" t="s">
        <v>1804</v>
      </c>
      <c r="B26" s="16" t="s">
        <v>1773</v>
      </c>
      <c r="C26" s="16" t="n">
        <v>4</v>
      </c>
      <c r="D26" s="18" t="s">
        <v>1805</v>
      </c>
      <c r="E26" s="16" t="s">
        <v>1759</v>
      </c>
      <c r="F26" s="18" t="s">
        <v>1806</v>
      </c>
      <c r="G26" s="19" t="s">
        <v>154</v>
      </c>
      <c r="H26" s="19" t="s">
        <v>154</v>
      </c>
      <c r="I26" s="19" t="s">
        <v>1807</v>
      </c>
      <c r="J26" s="19" t="s">
        <v>154</v>
      </c>
      <c r="K26" s="19" t="s">
        <v>154</v>
      </c>
      <c r="L26" s="19" t="s">
        <v>154</v>
      </c>
      <c r="M26" s="19" t="s">
        <v>154</v>
      </c>
    </row>
    <row r="27" customFormat="false" ht="15" hidden="false" customHeight="false" outlineLevel="0" collapsed="false">
      <c r="A27" s="16" t="s">
        <v>1804</v>
      </c>
      <c r="B27" s="16" t="s">
        <v>1773</v>
      </c>
      <c r="C27" s="16" t="n">
        <v>4</v>
      </c>
      <c r="D27" s="18" t="s">
        <v>1805</v>
      </c>
      <c r="E27" s="16" t="s">
        <v>1759</v>
      </c>
      <c r="F27" s="18" t="s">
        <v>1808</v>
      </c>
      <c r="G27" s="19" t="s">
        <v>253</v>
      </c>
      <c r="H27" s="19" t="s">
        <v>154</v>
      </c>
      <c r="I27" s="19" t="s">
        <v>1795</v>
      </c>
      <c r="J27" s="19" t="s">
        <v>154</v>
      </c>
      <c r="K27" s="19" t="s">
        <v>154</v>
      </c>
      <c r="L27" s="19" t="s">
        <v>154</v>
      </c>
      <c r="M27" s="19" t="s">
        <v>154</v>
      </c>
    </row>
    <row r="28" customFormat="false" ht="15" hidden="false" customHeight="false" outlineLevel="0" collapsed="false">
      <c r="A28" s="16" t="s">
        <v>1804</v>
      </c>
      <c r="B28" s="16" t="s">
        <v>1773</v>
      </c>
      <c r="C28" s="16" t="n">
        <v>4</v>
      </c>
      <c r="D28" s="18" t="s">
        <v>1805</v>
      </c>
      <c r="E28" s="16" t="s">
        <v>1759</v>
      </c>
      <c r="F28" s="18" t="s">
        <v>262</v>
      </c>
      <c r="G28" s="19" t="s">
        <v>261</v>
      </c>
      <c r="H28" s="19" t="s">
        <v>154</v>
      </c>
      <c r="I28" s="19" t="s">
        <v>1809</v>
      </c>
      <c r="J28" s="19" t="s">
        <v>154</v>
      </c>
      <c r="K28" s="19" t="s">
        <v>154</v>
      </c>
      <c r="L28" s="19" t="s">
        <v>154</v>
      </c>
      <c r="M28" s="19" t="s">
        <v>154</v>
      </c>
    </row>
    <row r="29" customFormat="false" ht="15" hidden="false" customHeight="false" outlineLevel="0" collapsed="false">
      <c r="A29" s="16" t="s">
        <v>1804</v>
      </c>
      <c r="B29" s="16" t="s">
        <v>1773</v>
      </c>
      <c r="C29" s="16" t="n">
        <v>4</v>
      </c>
      <c r="D29" s="18" t="s">
        <v>1805</v>
      </c>
      <c r="E29" s="16" t="s">
        <v>1759</v>
      </c>
      <c r="F29" s="18" t="s">
        <v>1810</v>
      </c>
      <c r="G29" s="19" t="s">
        <v>265</v>
      </c>
      <c r="H29" s="19" t="s">
        <v>154</v>
      </c>
      <c r="I29" s="19" t="s">
        <v>154</v>
      </c>
      <c r="J29" s="19" t="s">
        <v>154</v>
      </c>
      <c r="K29" s="19" t="s">
        <v>154</v>
      </c>
      <c r="L29" s="19" t="s">
        <v>154</v>
      </c>
      <c r="M29" s="19" t="s">
        <v>154</v>
      </c>
    </row>
    <row r="30" customFormat="false" ht="15" hidden="false" customHeight="false" outlineLevel="0" collapsed="false">
      <c r="A30" s="16" t="s">
        <v>1804</v>
      </c>
      <c r="B30" s="16" t="s">
        <v>1773</v>
      </c>
      <c r="C30" s="16" t="n">
        <v>4</v>
      </c>
      <c r="D30" s="18" t="s">
        <v>1805</v>
      </c>
      <c r="E30" s="16" t="s">
        <v>1759</v>
      </c>
      <c r="F30" s="18" t="s">
        <v>1811</v>
      </c>
      <c r="G30" s="19" t="s">
        <v>272</v>
      </c>
      <c r="H30" s="19" t="s">
        <v>154</v>
      </c>
      <c r="I30" s="19" t="s">
        <v>154</v>
      </c>
      <c r="J30" s="19" t="s">
        <v>154</v>
      </c>
      <c r="K30" s="19" t="s">
        <v>154</v>
      </c>
      <c r="L30" s="19" t="s">
        <v>154</v>
      </c>
      <c r="M30" s="19" t="s">
        <v>154</v>
      </c>
    </row>
    <row r="31" customFormat="false" ht="23.85" hidden="false" customHeight="false" outlineLevel="0" collapsed="false">
      <c r="A31" s="16" t="s">
        <v>1804</v>
      </c>
      <c r="B31" s="16" t="s">
        <v>1773</v>
      </c>
      <c r="C31" s="16" t="n">
        <v>4</v>
      </c>
      <c r="D31" s="18" t="s">
        <v>1805</v>
      </c>
      <c r="E31" s="16" t="s">
        <v>1759</v>
      </c>
      <c r="F31" s="18" t="s">
        <v>1796</v>
      </c>
      <c r="G31" s="19" t="s">
        <v>154</v>
      </c>
      <c r="H31" s="19" t="s">
        <v>154</v>
      </c>
      <c r="I31" s="19" t="s">
        <v>1812</v>
      </c>
      <c r="J31" s="19" t="s">
        <v>154</v>
      </c>
      <c r="K31" s="19" t="s">
        <v>154</v>
      </c>
      <c r="L31" s="19" t="s">
        <v>154</v>
      </c>
      <c r="M31" s="19" t="s">
        <v>154</v>
      </c>
    </row>
    <row r="32" customFormat="false" ht="23.85" hidden="false" customHeight="false" outlineLevel="0" collapsed="false">
      <c r="A32" s="16" t="s">
        <v>1813</v>
      </c>
      <c r="B32" s="16" t="s">
        <v>1773</v>
      </c>
      <c r="C32" s="16" t="n">
        <v>5</v>
      </c>
      <c r="D32" s="18" t="s">
        <v>1814</v>
      </c>
      <c r="E32" s="16" t="s">
        <v>1759</v>
      </c>
      <c r="F32" s="18" t="s">
        <v>1815</v>
      </c>
      <c r="G32" s="19" t="s">
        <v>295</v>
      </c>
      <c r="H32" s="19" t="s">
        <v>154</v>
      </c>
      <c r="I32" s="19" t="s">
        <v>1792</v>
      </c>
      <c r="J32" s="19" t="s">
        <v>154</v>
      </c>
      <c r="K32" s="19" t="s">
        <v>1816</v>
      </c>
      <c r="L32" s="19" t="s">
        <v>154</v>
      </c>
      <c r="M32" s="19" t="s">
        <v>154</v>
      </c>
    </row>
    <row r="33" customFormat="false" ht="23.85" hidden="false" customHeight="false" outlineLevel="0" collapsed="false">
      <c r="A33" s="16" t="s">
        <v>1813</v>
      </c>
      <c r="B33" s="16" t="s">
        <v>1773</v>
      </c>
      <c r="C33" s="16" t="n">
        <v>5</v>
      </c>
      <c r="D33" s="18" t="s">
        <v>1814</v>
      </c>
      <c r="E33" s="16" t="s">
        <v>1759</v>
      </c>
      <c r="F33" s="18" t="s">
        <v>1817</v>
      </c>
      <c r="G33" s="19" t="s">
        <v>300</v>
      </c>
      <c r="H33" s="19" t="s">
        <v>154</v>
      </c>
      <c r="I33" s="19" t="s">
        <v>1795</v>
      </c>
      <c r="J33" s="19" t="s">
        <v>154</v>
      </c>
      <c r="K33" s="19" t="s">
        <v>1816</v>
      </c>
      <c r="L33" s="19" t="s">
        <v>154</v>
      </c>
      <c r="M33" s="19" t="s">
        <v>154</v>
      </c>
    </row>
    <row r="34" customFormat="false" ht="23.85" hidden="false" customHeight="false" outlineLevel="0" collapsed="false">
      <c r="A34" s="16" t="s">
        <v>1813</v>
      </c>
      <c r="B34" s="16" t="s">
        <v>1773</v>
      </c>
      <c r="C34" s="16" t="n">
        <v>5</v>
      </c>
      <c r="D34" s="18" t="s">
        <v>1814</v>
      </c>
      <c r="E34" s="16" t="s">
        <v>1759</v>
      </c>
      <c r="F34" s="18" t="s">
        <v>192</v>
      </c>
      <c r="G34" s="19" t="s">
        <v>154</v>
      </c>
      <c r="H34" s="19" t="s">
        <v>154</v>
      </c>
      <c r="I34" s="19" t="s">
        <v>154</v>
      </c>
      <c r="J34" s="19" t="s">
        <v>154</v>
      </c>
      <c r="K34" s="19" t="s">
        <v>1816</v>
      </c>
      <c r="L34" s="19" t="s">
        <v>154</v>
      </c>
      <c r="M34" s="19" t="s">
        <v>154</v>
      </c>
    </row>
    <row r="35" customFormat="false" ht="23.85" hidden="false" customHeight="false" outlineLevel="0" collapsed="false">
      <c r="A35" s="16" t="s">
        <v>1813</v>
      </c>
      <c r="B35" s="16" t="s">
        <v>1773</v>
      </c>
      <c r="C35" s="16" t="n">
        <v>5</v>
      </c>
      <c r="D35" s="18" t="s">
        <v>1814</v>
      </c>
      <c r="E35" s="16" t="s">
        <v>1759</v>
      </c>
      <c r="F35" s="18" t="s">
        <v>1796</v>
      </c>
      <c r="G35" s="19" t="s">
        <v>154</v>
      </c>
      <c r="H35" s="19" t="s">
        <v>154</v>
      </c>
      <c r="I35" s="19" t="s">
        <v>154</v>
      </c>
      <c r="J35" s="19" t="s">
        <v>154</v>
      </c>
      <c r="K35" s="19" t="s">
        <v>1816</v>
      </c>
      <c r="L35" s="19" t="s">
        <v>154</v>
      </c>
      <c r="M35" s="19" t="s">
        <v>154</v>
      </c>
    </row>
    <row r="36" customFormat="false" ht="15" hidden="false" customHeight="false" outlineLevel="0" collapsed="false">
      <c r="A36" s="16" t="s">
        <v>1818</v>
      </c>
      <c r="B36" s="16" t="s">
        <v>1773</v>
      </c>
      <c r="C36" s="16" t="n">
        <v>6</v>
      </c>
      <c r="D36" s="18" t="s">
        <v>1819</v>
      </c>
      <c r="E36" s="16" t="s">
        <v>1759</v>
      </c>
      <c r="F36" s="18" t="s">
        <v>97</v>
      </c>
      <c r="G36" s="19" t="s">
        <v>1820</v>
      </c>
      <c r="H36" s="19" t="s">
        <v>154</v>
      </c>
      <c r="I36" s="19" t="s">
        <v>154</v>
      </c>
      <c r="J36" s="19" t="s">
        <v>154</v>
      </c>
      <c r="K36" s="19" t="s">
        <v>154</v>
      </c>
      <c r="L36" s="19" t="s">
        <v>154</v>
      </c>
      <c r="M36" s="19" t="s">
        <v>154</v>
      </c>
    </row>
    <row r="37" customFormat="false" ht="15" hidden="false" customHeight="false" outlineLevel="0" collapsed="false">
      <c r="A37" s="16" t="s">
        <v>1818</v>
      </c>
      <c r="B37" s="16" t="s">
        <v>1773</v>
      </c>
      <c r="C37" s="16" t="n">
        <v>6</v>
      </c>
      <c r="D37" s="18" t="s">
        <v>1819</v>
      </c>
      <c r="E37" s="16" t="s">
        <v>1759</v>
      </c>
      <c r="F37" s="18" t="s">
        <v>192</v>
      </c>
      <c r="G37" s="19" t="s">
        <v>154</v>
      </c>
      <c r="H37" s="19" t="s">
        <v>154</v>
      </c>
      <c r="I37" s="19" t="s">
        <v>154</v>
      </c>
      <c r="J37" s="19" t="s">
        <v>154</v>
      </c>
      <c r="K37" s="19" t="s">
        <v>154</v>
      </c>
      <c r="L37" s="19" t="s">
        <v>154</v>
      </c>
      <c r="M37" s="19" t="s">
        <v>154</v>
      </c>
    </row>
    <row r="38" customFormat="false" ht="15" hidden="false" customHeight="false" outlineLevel="0" collapsed="false">
      <c r="A38" s="16" t="s">
        <v>1818</v>
      </c>
      <c r="B38" s="16" t="s">
        <v>1773</v>
      </c>
      <c r="C38" s="16" t="n">
        <v>6</v>
      </c>
      <c r="D38" s="18" t="s">
        <v>1819</v>
      </c>
      <c r="E38" s="16" t="s">
        <v>1759</v>
      </c>
      <c r="F38" s="18" t="s">
        <v>1796</v>
      </c>
      <c r="G38" s="19" t="s">
        <v>154</v>
      </c>
      <c r="H38" s="19" t="s">
        <v>154</v>
      </c>
      <c r="I38" s="19" t="s">
        <v>1821</v>
      </c>
      <c r="J38" s="19" t="s">
        <v>154</v>
      </c>
      <c r="K38" s="19" t="s">
        <v>154</v>
      </c>
      <c r="L38" s="19" t="s">
        <v>154</v>
      </c>
      <c r="M38" s="19" t="s">
        <v>154</v>
      </c>
    </row>
    <row r="39" customFormat="false" ht="23.85" hidden="false" customHeight="false" outlineLevel="0" collapsed="false">
      <c r="A39" s="16" t="s">
        <v>1822</v>
      </c>
      <c r="B39" s="16" t="s">
        <v>1773</v>
      </c>
      <c r="C39" s="16" t="n">
        <v>7</v>
      </c>
      <c r="D39" s="18" t="s">
        <v>1823</v>
      </c>
      <c r="E39" s="16" t="s">
        <v>1759</v>
      </c>
      <c r="F39" s="18" t="s">
        <v>97</v>
      </c>
      <c r="G39" s="19" t="s">
        <v>154</v>
      </c>
      <c r="H39" s="19" t="s">
        <v>154</v>
      </c>
      <c r="I39" s="19" t="s">
        <v>154</v>
      </c>
      <c r="J39" s="19" t="s">
        <v>154</v>
      </c>
      <c r="K39" s="19" t="s">
        <v>154</v>
      </c>
      <c r="L39" s="19" t="s">
        <v>154</v>
      </c>
      <c r="M39" s="19" t="s">
        <v>154</v>
      </c>
    </row>
    <row r="40" customFormat="false" ht="23.85" hidden="false" customHeight="false" outlineLevel="0" collapsed="false">
      <c r="A40" s="16" t="s">
        <v>1822</v>
      </c>
      <c r="B40" s="16" t="s">
        <v>1773</v>
      </c>
      <c r="C40" s="16" t="n">
        <v>7</v>
      </c>
      <c r="D40" s="18" t="s">
        <v>1823</v>
      </c>
      <c r="E40" s="16" t="s">
        <v>1759</v>
      </c>
      <c r="F40" s="18" t="s">
        <v>1824</v>
      </c>
      <c r="G40" s="19" t="s">
        <v>550</v>
      </c>
      <c r="H40" s="19" t="s">
        <v>154</v>
      </c>
      <c r="I40" s="19" t="s">
        <v>154</v>
      </c>
      <c r="J40" s="19" t="s">
        <v>154</v>
      </c>
      <c r="K40" s="19" t="s">
        <v>154</v>
      </c>
      <c r="L40" s="19" t="s">
        <v>154</v>
      </c>
      <c r="M40" s="19" t="s">
        <v>154</v>
      </c>
    </row>
    <row r="41" customFormat="false" ht="23.85" hidden="false" customHeight="false" outlineLevel="0" collapsed="false">
      <c r="A41" s="16" t="s">
        <v>1822</v>
      </c>
      <c r="B41" s="16" t="s">
        <v>1773</v>
      </c>
      <c r="C41" s="16" t="n">
        <v>7</v>
      </c>
      <c r="D41" s="18" t="s">
        <v>1823</v>
      </c>
      <c r="E41" s="16" t="s">
        <v>1759</v>
      </c>
      <c r="F41" s="18" t="s">
        <v>1825</v>
      </c>
      <c r="G41" s="19" t="s">
        <v>561</v>
      </c>
      <c r="H41" s="19" t="s">
        <v>154</v>
      </c>
      <c r="I41" s="19" t="s">
        <v>154</v>
      </c>
      <c r="J41" s="19" t="s">
        <v>154</v>
      </c>
      <c r="K41" s="19" t="s">
        <v>154</v>
      </c>
      <c r="L41" s="19" t="s">
        <v>154</v>
      </c>
      <c r="M41" s="19" t="s">
        <v>154</v>
      </c>
    </row>
    <row r="42" customFormat="false" ht="23.85" hidden="false" customHeight="false" outlineLevel="0" collapsed="false">
      <c r="A42" s="16" t="s">
        <v>1822</v>
      </c>
      <c r="B42" s="16" t="s">
        <v>1773</v>
      </c>
      <c r="C42" s="16" t="n">
        <v>7</v>
      </c>
      <c r="D42" s="18" t="s">
        <v>1823</v>
      </c>
      <c r="E42" s="16" t="s">
        <v>1759</v>
      </c>
      <c r="F42" s="18" t="s">
        <v>1796</v>
      </c>
      <c r="G42" s="19" t="s">
        <v>154</v>
      </c>
      <c r="H42" s="19" t="s">
        <v>154</v>
      </c>
      <c r="I42" s="19" t="s">
        <v>1826</v>
      </c>
      <c r="J42" s="19" t="s">
        <v>154</v>
      </c>
      <c r="K42" s="19" t="s">
        <v>154</v>
      </c>
      <c r="L42" s="19" t="s">
        <v>154</v>
      </c>
      <c r="M42" s="19" t="s">
        <v>154</v>
      </c>
    </row>
    <row r="43" customFormat="false" ht="23.85" hidden="false" customHeight="false" outlineLevel="0" collapsed="false">
      <c r="A43" s="16" t="s">
        <v>1827</v>
      </c>
      <c r="B43" s="16" t="s">
        <v>1773</v>
      </c>
      <c r="C43" s="16" t="n">
        <v>8</v>
      </c>
      <c r="D43" s="18" t="s">
        <v>1828</v>
      </c>
      <c r="E43" s="16" t="s">
        <v>1759</v>
      </c>
      <c r="F43" s="18" t="s">
        <v>1829</v>
      </c>
      <c r="G43" s="19" t="s">
        <v>736</v>
      </c>
      <c r="H43" s="19" t="s">
        <v>154</v>
      </c>
      <c r="I43" s="19" t="s">
        <v>154</v>
      </c>
      <c r="J43" s="19" t="s">
        <v>154</v>
      </c>
      <c r="K43" s="19" t="s">
        <v>154</v>
      </c>
      <c r="L43" s="19" t="s">
        <v>154</v>
      </c>
      <c r="M43" s="19" t="s">
        <v>154</v>
      </c>
    </row>
    <row r="44" customFormat="false" ht="23.85" hidden="false" customHeight="false" outlineLevel="0" collapsed="false">
      <c r="A44" s="16" t="s">
        <v>1827</v>
      </c>
      <c r="B44" s="16" t="s">
        <v>1773</v>
      </c>
      <c r="C44" s="16" t="n">
        <v>8</v>
      </c>
      <c r="D44" s="18" t="s">
        <v>1828</v>
      </c>
      <c r="E44" s="16" t="s">
        <v>1759</v>
      </c>
      <c r="F44" s="18" t="s">
        <v>1830</v>
      </c>
      <c r="G44" s="19" t="s">
        <v>1831</v>
      </c>
      <c r="H44" s="19" t="s">
        <v>154</v>
      </c>
      <c r="I44" s="19" t="s">
        <v>154</v>
      </c>
      <c r="J44" s="19" t="s">
        <v>154</v>
      </c>
      <c r="K44" s="19" t="s">
        <v>154</v>
      </c>
      <c r="L44" s="19" t="s">
        <v>154</v>
      </c>
      <c r="M44" s="19" t="s">
        <v>154</v>
      </c>
    </row>
    <row r="45" customFormat="false" ht="23.85" hidden="false" customHeight="false" outlineLevel="0" collapsed="false">
      <c r="A45" s="16" t="s">
        <v>1827</v>
      </c>
      <c r="B45" s="16" t="s">
        <v>1773</v>
      </c>
      <c r="C45" s="16" t="n">
        <v>8</v>
      </c>
      <c r="D45" s="18" t="s">
        <v>1828</v>
      </c>
      <c r="E45" s="16" t="s">
        <v>1759</v>
      </c>
      <c r="F45" s="18" t="s">
        <v>1832</v>
      </c>
      <c r="G45" s="19" t="s">
        <v>736</v>
      </c>
      <c r="H45" s="19" t="s">
        <v>154</v>
      </c>
      <c r="I45" s="19" t="s">
        <v>154</v>
      </c>
      <c r="J45" s="19" t="s">
        <v>154</v>
      </c>
      <c r="K45" s="19" t="s">
        <v>154</v>
      </c>
      <c r="L45" s="19" t="s">
        <v>154</v>
      </c>
      <c r="M45" s="19" t="s">
        <v>154</v>
      </c>
    </row>
    <row r="46" customFormat="false" ht="23.85" hidden="false" customHeight="false" outlineLevel="0" collapsed="false">
      <c r="A46" s="16" t="s">
        <v>1827</v>
      </c>
      <c r="B46" s="16" t="s">
        <v>1773</v>
      </c>
      <c r="C46" s="16" t="n">
        <v>8</v>
      </c>
      <c r="D46" s="18" t="s">
        <v>1828</v>
      </c>
      <c r="E46" s="16" t="s">
        <v>1759</v>
      </c>
      <c r="F46" s="18" t="s">
        <v>1833</v>
      </c>
      <c r="G46" s="19" t="s">
        <v>736</v>
      </c>
      <c r="H46" s="19" t="s">
        <v>154</v>
      </c>
      <c r="I46" s="19" t="s">
        <v>1834</v>
      </c>
      <c r="J46" s="19" t="s">
        <v>154</v>
      </c>
      <c r="K46" s="19" t="s">
        <v>154</v>
      </c>
      <c r="L46" s="19" t="s">
        <v>154</v>
      </c>
      <c r="M46" s="19" t="s">
        <v>1835</v>
      </c>
    </row>
    <row r="47" customFormat="false" ht="23.85" hidden="false" customHeight="false" outlineLevel="0" collapsed="false">
      <c r="A47" s="16" t="s">
        <v>1827</v>
      </c>
      <c r="B47" s="16" t="s">
        <v>1773</v>
      </c>
      <c r="C47" s="16" t="n">
        <v>8</v>
      </c>
      <c r="D47" s="18" t="s">
        <v>1828</v>
      </c>
      <c r="E47" s="16" t="s">
        <v>1759</v>
      </c>
      <c r="F47" s="18" t="s">
        <v>192</v>
      </c>
      <c r="G47" s="19" t="s">
        <v>154</v>
      </c>
      <c r="H47" s="19" t="s">
        <v>154</v>
      </c>
      <c r="I47" s="19" t="s">
        <v>154</v>
      </c>
      <c r="J47" s="19" t="s">
        <v>154</v>
      </c>
      <c r="K47" s="19" t="s">
        <v>154</v>
      </c>
      <c r="L47" s="19" t="s">
        <v>154</v>
      </c>
      <c r="M47" s="19" t="s">
        <v>154</v>
      </c>
    </row>
    <row r="48" customFormat="false" ht="23.85" hidden="false" customHeight="false" outlineLevel="0" collapsed="false">
      <c r="A48" s="16" t="s">
        <v>1827</v>
      </c>
      <c r="B48" s="16" t="s">
        <v>1773</v>
      </c>
      <c r="C48" s="16" t="n">
        <v>8</v>
      </c>
      <c r="D48" s="18" t="s">
        <v>1828</v>
      </c>
      <c r="E48" s="16" t="s">
        <v>1759</v>
      </c>
      <c r="F48" s="18" t="s">
        <v>1796</v>
      </c>
      <c r="G48" s="19" t="s">
        <v>154</v>
      </c>
      <c r="H48" s="19" t="s">
        <v>154</v>
      </c>
      <c r="I48" s="19" t="s">
        <v>154</v>
      </c>
      <c r="J48" s="19" t="s">
        <v>154</v>
      </c>
      <c r="K48" s="19" t="s">
        <v>154</v>
      </c>
      <c r="L48" s="19" t="s">
        <v>154</v>
      </c>
      <c r="M48" s="19" t="s">
        <v>154</v>
      </c>
    </row>
    <row r="49" customFormat="false" ht="15" hidden="false" customHeight="false" outlineLevel="0" collapsed="false">
      <c r="A49" s="16" t="s">
        <v>1836</v>
      </c>
      <c r="B49" s="16" t="s">
        <v>1773</v>
      </c>
      <c r="C49" s="16" t="n">
        <v>9</v>
      </c>
      <c r="D49" s="18" t="s">
        <v>1837</v>
      </c>
      <c r="E49" s="16" t="s">
        <v>1759</v>
      </c>
      <c r="F49" s="18" t="s">
        <v>97</v>
      </c>
      <c r="G49" s="19" t="s">
        <v>519</v>
      </c>
      <c r="H49" s="19" t="s">
        <v>154</v>
      </c>
      <c r="I49" s="19" t="s">
        <v>154</v>
      </c>
      <c r="J49" s="19" t="s">
        <v>154</v>
      </c>
      <c r="K49" s="19" t="s">
        <v>154</v>
      </c>
      <c r="L49" s="19" t="s">
        <v>154</v>
      </c>
      <c r="M49" s="19" t="s">
        <v>154</v>
      </c>
    </row>
    <row r="50" customFormat="false" ht="15" hidden="false" customHeight="false" outlineLevel="0" collapsed="false">
      <c r="A50" s="16" t="s">
        <v>1836</v>
      </c>
      <c r="B50" s="16" t="s">
        <v>1773</v>
      </c>
      <c r="C50" s="16" t="n">
        <v>9</v>
      </c>
      <c r="D50" s="18" t="s">
        <v>1837</v>
      </c>
      <c r="E50" s="16" t="s">
        <v>1759</v>
      </c>
      <c r="F50" s="18" t="s">
        <v>192</v>
      </c>
      <c r="G50" s="19" t="s">
        <v>154</v>
      </c>
      <c r="H50" s="19" t="s">
        <v>154</v>
      </c>
      <c r="I50" s="19" t="s">
        <v>154</v>
      </c>
      <c r="J50" s="19" t="s">
        <v>154</v>
      </c>
      <c r="K50" s="19" t="s">
        <v>154</v>
      </c>
      <c r="L50" s="19" t="s">
        <v>154</v>
      </c>
      <c r="M50" s="19" t="s">
        <v>154</v>
      </c>
    </row>
    <row r="51" customFormat="false" ht="15" hidden="false" customHeight="false" outlineLevel="0" collapsed="false">
      <c r="A51" s="16" t="s">
        <v>1836</v>
      </c>
      <c r="B51" s="16" t="s">
        <v>1773</v>
      </c>
      <c r="C51" s="16" t="n">
        <v>9</v>
      </c>
      <c r="D51" s="18" t="s">
        <v>1837</v>
      </c>
      <c r="E51" s="16" t="s">
        <v>1759</v>
      </c>
      <c r="F51" s="18" t="s">
        <v>1796</v>
      </c>
      <c r="G51" s="19" t="s">
        <v>154</v>
      </c>
      <c r="H51" s="19" t="s">
        <v>154</v>
      </c>
      <c r="I51" s="19" t="s">
        <v>154</v>
      </c>
      <c r="J51" s="19" t="s">
        <v>154</v>
      </c>
      <c r="K51" s="19" t="s">
        <v>154</v>
      </c>
      <c r="L51" s="19" t="s">
        <v>154</v>
      </c>
      <c r="M51" s="19" t="s">
        <v>154</v>
      </c>
    </row>
    <row r="52" customFormat="false" ht="23.85" hidden="false" customHeight="false" outlineLevel="0" collapsed="false">
      <c r="A52" s="16" t="s">
        <v>1838</v>
      </c>
      <c r="B52" s="16" t="s">
        <v>1773</v>
      </c>
      <c r="C52" s="16" t="n">
        <v>10</v>
      </c>
      <c r="D52" s="18" t="s">
        <v>1839</v>
      </c>
      <c r="E52" s="16" t="s">
        <v>1800</v>
      </c>
      <c r="F52" s="18" t="s">
        <v>1840</v>
      </c>
      <c r="G52" s="19" t="s">
        <v>872</v>
      </c>
      <c r="H52" s="19" t="s">
        <v>154</v>
      </c>
      <c r="I52" s="19" t="s">
        <v>1841</v>
      </c>
      <c r="J52" s="19" t="s">
        <v>154</v>
      </c>
      <c r="K52" s="19" t="s">
        <v>1842</v>
      </c>
      <c r="L52" s="19" t="s">
        <v>154</v>
      </c>
      <c r="M52" s="19" t="s">
        <v>154</v>
      </c>
    </row>
    <row r="53" customFormat="false" ht="23.85" hidden="false" customHeight="false" outlineLevel="0" collapsed="false">
      <c r="A53" s="16" t="s">
        <v>1838</v>
      </c>
      <c r="B53" s="16" t="s">
        <v>1773</v>
      </c>
      <c r="C53" s="16" t="n">
        <v>10</v>
      </c>
      <c r="D53" s="18" t="s">
        <v>1839</v>
      </c>
      <c r="E53" s="16" t="s">
        <v>1800</v>
      </c>
      <c r="F53" s="18" t="s">
        <v>1843</v>
      </c>
      <c r="G53" s="19" t="s">
        <v>883</v>
      </c>
      <c r="H53" s="19" t="s">
        <v>154</v>
      </c>
      <c r="I53" s="19" t="s">
        <v>154</v>
      </c>
      <c r="J53" s="19" t="s">
        <v>154</v>
      </c>
      <c r="K53" s="19" t="s">
        <v>1842</v>
      </c>
      <c r="L53" s="19" t="s">
        <v>154</v>
      </c>
      <c r="M53" s="19" t="s">
        <v>154</v>
      </c>
    </row>
    <row r="54" customFormat="false" ht="23.85" hidden="false" customHeight="false" outlineLevel="0" collapsed="false">
      <c r="A54" s="16" t="s">
        <v>1838</v>
      </c>
      <c r="B54" s="16" t="s">
        <v>1773</v>
      </c>
      <c r="C54" s="16" t="n">
        <v>10</v>
      </c>
      <c r="D54" s="18" t="s">
        <v>1839</v>
      </c>
      <c r="E54" s="16" t="s">
        <v>1800</v>
      </c>
      <c r="F54" s="18" t="s">
        <v>1844</v>
      </c>
      <c r="G54" s="19" t="s">
        <v>891</v>
      </c>
      <c r="H54" s="19" t="s">
        <v>154</v>
      </c>
      <c r="I54" s="19" t="s">
        <v>1795</v>
      </c>
      <c r="J54" s="19" t="s">
        <v>154</v>
      </c>
      <c r="K54" s="19" t="s">
        <v>1842</v>
      </c>
      <c r="L54" s="19" t="s">
        <v>154</v>
      </c>
      <c r="M54" s="19" t="s">
        <v>154</v>
      </c>
    </row>
    <row r="55" customFormat="false" ht="23.85" hidden="false" customHeight="false" outlineLevel="0" collapsed="false">
      <c r="A55" s="16" t="s">
        <v>1838</v>
      </c>
      <c r="B55" s="16" t="s">
        <v>1773</v>
      </c>
      <c r="C55" s="16" t="n">
        <v>10</v>
      </c>
      <c r="D55" s="18" t="s">
        <v>1839</v>
      </c>
      <c r="E55" s="16" t="s">
        <v>1800</v>
      </c>
      <c r="F55" s="18" t="s">
        <v>1029</v>
      </c>
      <c r="G55" s="19" t="s">
        <v>154</v>
      </c>
      <c r="H55" s="19" t="s">
        <v>154</v>
      </c>
      <c r="I55" s="19" t="s">
        <v>154</v>
      </c>
      <c r="J55" s="19" t="s">
        <v>154</v>
      </c>
      <c r="K55" s="19" t="s">
        <v>1842</v>
      </c>
      <c r="L55" s="19" t="s">
        <v>154</v>
      </c>
      <c r="M55" s="19" t="s">
        <v>154</v>
      </c>
    </row>
    <row r="56" customFormat="false" ht="23.85" hidden="false" customHeight="false" outlineLevel="0" collapsed="false">
      <c r="A56" s="16" t="s">
        <v>1838</v>
      </c>
      <c r="B56" s="16" t="s">
        <v>1773</v>
      </c>
      <c r="C56" s="16" t="n">
        <v>10</v>
      </c>
      <c r="D56" s="18" t="s">
        <v>1839</v>
      </c>
      <c r="E56" s="16" t="s">
        <v>1800</v>
      </c>
      <c r="F56" s="18" t="s">
        <v>1796</v>
      </c>
      <c r="G56" s="19" t="s">
        <v>154</v>
      </c>
      <c r="H56" s="19" t="s">
        <v>154</v>
      </c>
      <c r="I56" s="19" t="s">
        <v>154</v>
      </c>
      <c r="J56" s="19" t="s">
        <v>154</v>
      </c>
      <c r="K56" s="19" t="s">
        <v>1842</v>
      </c>
      <c r="L56" s="19" t="s">
        <v>154</v>
      </c>
      <c r="M56" s="19" t="s">
        <v>154</v>
      </c>
    </row>
    <row r="57" customFormat="false" ht="15" hidden="false" customHeight="false" outlineLevel="0" collapsed="false">
      <c r="A57" s="16" t="s">
        <v>1845</v>
      </c>
      <c r="B57" s="16" t="s">
        <v>1773</v>
      </c>
      <c r="C57" s="16" t="n">
        <v>11</v>
      </c>
      <c r="D57" s="18" t="s">
        <v>1846</v>
      </c>
      <c r="E57" s="16" t="s">
        <v>1759</v>
      </c>
      <c r="F57" s="18" t="s">
        <v>97</v>
      </c>
      <c r="G57" s="19" t="s">
        <v>638</v>
      </c>
      <c r="H57" s="19" t="s">
        <v>154</v>
      </c>
      <c r="I57" s="19" t="s">
        <v>1847</v>
      </c>
      <c r="J57" s="19" t="s">
        <v>154</v>
      </c>
      <c r="K57" s="19" t="s">
        <v>154</v>
      </c>
      <c r="L57" s="19" t="s">
        <v>154</v>
      </c>
      <c r="M57" s="19" t="s">
        <v>154</v>
      </c>
    </row>
    <row r="58" customFormat="false" ht="15" hidden="false" customHeight="false" outlineLevel="0" collapsed="false">
      <c r="A58" s="16" t="s">
        <v>1845</v>
      </c>
      <c r="B58" s="16" t="s">
        <v>1773</v>
      </c>
      <c r="C58" s="16" t="n">
        <v>11</v>
      </c>
      <c r="D58" s="18" t="s">
        <v>1846</v>
      </c>
      <c r="E58" s="16" t="s">
        <v>1759</v>
      </c>
      <c r="F58" s="18" t="s">
        <v>192</v>
      </c>
      <c r="G58" s="19" t="s">
        <v>638</v>
      </c>
      <c r="H58" s="19" t="s">
        <v>154</v>
      </c>
      <c r="I58" s="19" t="s">
        <v>1848</v>
      </c>
      <c r="J58" s="19" t="s">
        <v>154</v>
      </c>
      <c r="K58" s="19" t="s">
        <v>154</v>
      </c>
      <c r="L58" s="19" t="s">
        <v>154</v>
      </c>
      <c r="M58" s="19" t="s">
        <v>1849</v>
      </c>
    </row>
    <row r="59" customFormat="false" ht="15" hidden="false" customHeight="false" outlineLevel="0" collapsed="false">
      <c r="A59" s="16" t="s">
        <v>1845</v>
      </c>
      <c r="B59" s="16" t="s">
        <v>1773</v>
      </c>
      <c r="C59" s="16" t="n">
        <v>11</v>
      </c>
      <c r="D59" s="18" t="s">
        <v>1846</v>
      </c>
      <c r="E59" s="16" t="s">
        <v>1759</v>
      </c>
      <c r="F59" s="18" t="s">
        <v>1796</v>
      </c>
      <c r="G59" s="19" t="s">
        <v>638</v>
      </c>
      <c r="H59" s="19" t="s">
        <v>154</v>
      </c>
      <c r="I59" s="19" t="s">
        <v>1850</v>
      </c>
      <c r="J59" s="19" t="s">
        <v>154</v>
      </c>
      <c r="K59" s="19" t="s">
        <v>154</v>
      </c>
      <c r="L59" s="19" t="s">
        <v>154</v>
      </c>
      <c r="M59" s="19" t="s">
        <v>1851</v>
      </c>
    </row>
    <row r="60" customFormat="false" ht="102.2" hidden="false" customHeight="false" outlineLevel="0" collapsed="false">
      <c r="A60" s="16" t="s">
        <v>1852</v>
      </c>
      <c r="B60" s="16" t="s">
        <v>1773</v>
      </c>
      <c r="C60" s="16" t="n">
        <v>12</v>
      </c>
      <c r="D60" s="18" t="s">
        <v>1853</v>
      </c>
      <c r="E60" s="16" t="s">
        <v>1854</v>
      </c>
      <c r="F60" s="18" t="s">
        <v>1855</v>
      </c>
      <c r="G60" s="19" t="s">
        <v>154</v>
      </c>
      <c r="H60" s="19" t="s">
        <v>1856</v>
      </c>
      <c r="I60" s="19" t="s">
        <v>154</v>
      </c>
      <c r="J60" s="19" t="s">
        <v>154</v>
      </c>
      <c r="K60" s="19" t="s">
        <v>154</v>
      </c>
      <c r="L60" s="19" t="s">
        <v>154</v>
      </c>
      <c r="M60" s="19" t="s">
        <v>154</v>
      </c>
    </row>
    <row r="61" customFormat="false" ht="57.45" hidden="false" customHeight="false" outlineLevel="0" collapsed="false">
      <c r="A61" s="16" t="s">
        <v>1857</v>
      </c>
      <c r="B61" s="16" t="s">
        <v>1773</v>
      </c>
      <c r="C61" s="16" t="n">
        <v>13</v>
      </c>
      <c r="D61" s="18" t="s">
        <v>1858</v>
      </c>
      <c r="E61" s="16" t="s">
        <v>1854</v>
      </c>
      <c r="F61" s="18" t="s">
        <v>1859</v>
      </c>
      <c r="G61" s="19" t="s">
        <v>154</v>
      </c>
      <c r="H61" s="19" t="s">
        <v>1860</v>
      </c>
      <c r="I61" s="19" t="s">
        <v>154</v>
      </c>
      <c r="J61" s="19" t="s">
        <v>154</v>
      </c>
      <c r="K61" s="19" t="s">
        <v>154</v>
      </c>
      <c r="L61" s="19" t="s">
        <v>154</v>
      </c>
      <c r="M61" s="19" t="s">
        <v>154</v>
      </c>
    </row>
    <row r="62" customFormat="false" ht="57.45" hidden="false" customHeight="false" outlineLevel="0" collapsed="false">
      <c r="A62" s="16" t="s">
        <v>1861</v>
      </c>
      <c r="B62" s="16" t="s">
        <v>1773</v>
      </c>
      <c r="C62" s="16" t="n">
        <v>14</v>
      </c>
      <c r="D62" s="18" t="s">
        <v>1862</v>
      </c>
      <c r="E62" s="16" t="s">
        <v>1854</v>
      </c>
      <c r="F62" s="18" t="s">
        <v>1863</v>
      </c>
      <c r="G62" s="19" t="s">
        <v>154</v>
      </c>
      <c r="H62" s="19" t="s">
        <v>1864</v>
      </c>
      <c r="I62" s="19" t="s">
        <v>154</v>
      </c>
      <c r="J62" s="19" t="s">
        <v>154</v>
      </c>
      <c r="K62" s="19" t="s">
        <v>154</v>
      </c>
      <c r="L62" s="19" t="s">
        <v>154</v>
      </c>
      <c r="M62" s="19" t="s">
        <v>154</v>
      </c>
    </row>
    <row r="63" customFormat="false" ht="35.05" hidden="false" customHeight="false" outlineLevel="0" collapsed="false">
      <c r="A63" s="16" t="s">
        <v>1865</v>
      </c>
      <c r="B63" s="16" t="s">
        <v>1773</v>
      </c>
      <c r="C63" s="16" t="n">
        <v>15</v>
      </c>
      <c r="D63" s="18" t="s">
        <v>1866</v>
      </c>
      <c r="E63" s="16" t="s">
        <v>1854</v>
      </c>
      <c r="F63" s="18" t="s">
        <v>1867</v>
      </c>
      <c r="G63" s="19" t="s">
        <v>154</v>
      </c>
      <c r="H63" s="19" t="s">
        <v>1868</v>
      </c>
      <c r="I63" s="19" t="s">
        <v>154</v>
      </c>
      <c r="J63" s="19" t="s">
        <v>154</v>
      </c>
      <c r="K63" s="19" t="s">
        <v>154</v>
      </c>
      <c r="L63" s="19" t="s">
        <v>154</v>
      </c>
      <c r="M63" s="19" t="s">
        <v>154</v>
      </c>
    </row>
    <row r="64" customFormat="false" ht="23.85" hidden="false" customHeight="false" outlineLevel="0" collapsed="false">
      <c r="A64" s="16" t="s">
        <v>1869</v>
      </c>
      <c r="B64" s="16" t="s">
        <v>1773</v>
      </c>
      <c r="C64" s="16" t="n">
        <v>16</v>
      </c>
      <c r="D64" s="18" t="s">
        <v>1870</v>
      </c>
      <c r="E64" s="16" t="s">
        <v>1854</v>
      </c>
      <c r="F64" s="18" t="s">
        <v>1871</v>
      </c>
      <c r="G64" s="19" t="s">
        <v>154</v>
      </c>
      <c r="H64" s="19" t="s">
        <v>1872</v>
      </c>
      <c r="I64" s="19" t="s">
        <v>154</v>
      </c>
      <c r="J64" s="19" t="s">
        <v>154</v>
      </c>
      <c r="K64" s="19" t="s">
        <v>154</v>
      </c>
      <c r="L64" s="19" t="s">
        <v>154</v>
      </c>
      <c r="M64" s="19" t="s">
        <v>154</v>
      </c>
    </row>
    <row r="65" customFormat="false" ht="23.85" hidden="false" customHeight="false" outlineLevel="0" collapsed="false">
      <c r="A65" s="16" t="s">
        <v>1873</v>
      </c>
      <c r="B65" s="16" t="s">
        <v>1773</v>
      </c>
      <c r="C65" s="16" t="n">
        <v>17</v>
      </c>
      <c r="D65" s="18" t="s">
        <v>1874</v>
      </c>
      <c r="E65" s="16" t="s">
        <v>1854</v>
      </c>
      <c r="F65" s="18" t="s">
        <v>1875</v>
      </c>
      <c r="G65" s="19" t="s">
        <v>154</v>
      </c>
      <c r="H65" s="19" t="s">
        <v>1876</v>
      </c>
      <c r="I65" s="19" t="s">
        <v>154</v>
      </c>
      <c r="J65" s="19" t="s">
        <v>154</v>
      </c>
      <c r="K65" s="19" t="s">
        <v>154</v>
      </c>
      <c r="L65" s="19" t="s">
        <v>154</v>
      </c>
      <c r="M65" s="19" t="s">
        <v>154</v>
      </c>
    </row>
    <row r="66" customFormat="false" ht="35.05" hidden="false" customHeight="false" outlineLevel="0" collapsed="false">
      <c r="A66" s="24" t="s">
        <v>1877</v>
      </c>
      <c r="B66" s="24" t="s">
        <v>1878</v>
      </c>
      <c r="C66" s="24" t="n">
        <v>19</v>
      </c>
      <c r="D66" s="26" t="s">
        <v>1879</v>
      </c>
      <c r="E66" s="24" t="s">
        <v>1759</v>
      </c>
      <c r="F66" s="26" t="s">
        <v>1880</v>
      </c>
      <c r="G66" s="25" t="s">
        <v>154</v>
      </c>
      <c r="H66" s="25" t="s">
        <v>154</v>
      </c>
      <c r="I66" s="25" t="s">
        <v>1881</v>
      </c>
      <c r="J66" s="25" t="s">
        <v>154</v>
      </c>
      <c r="K66" s="25" t="s">
        <v>154</v>
      </c>
      <c r="L66" s="25" t="s">
        <v>154</v>
      </c>
      <c r="M66" s="25" t="s">
        <v>154</v>
      </c>
    </row>
    <row r="67" customFormat="false" ht="35.05" hidden="false" customHeight="false" outlineLevel="0" collapsed="false">
      <c r="A67" s="24" t="s">
        <v>1877</v>
      </c>
      <c r="B67" s="24" t="s">
        <v>1878</v>
      </c>
      <c r="C67" s="24" t="n">
        <v>19</v>
      </c>
      <c r="D67" s="26" t="s">
        <v>1879</v>
      </c>
      <c r="E67" s="24" t="s">
        <v>1759</v>
      </c>
      <c r="F67" s="26" t="s">
        <v>1882</v>
      </c>
      <c r="G67" s="25" t="s">
        <v>154</v>
      </c>
      <c r="H67" s="25" t="s">
        <v>154</v>
      </c>
      <c r="I67" s="25" t="s">
        <v>1883</v>
      </c>
      <c r="J67" s="25" t="s">
        <v>154</v>
      </c>
      <c r="K67" s="25" t="s">
        <v>154</v>
      </c>
      <c r="L67" s="25" t="s">
        <v>1884</v>
      </c>
      <c r="M67" s="25" t="s">
        <v>154</v>
      </c>
    </row>
    <row r="68" customFormat="false" ht="15" hidden="false" customHeight="false" outlineLevel="0" collapsed="false">
      <c r="A68" s="24" t="s">
        <v>1885</v>
      </c>
      <c r="B68" s="24" t="s">
        <v>1878</v>
      </c>
      <c r="C68" s="24" t="n">
        <v>20</v>
      </c>
      <c r="D68" s="26" t="s">
        <v>1886</v>
      </c>
      <c r="E68" s="24" t="s">
        <v>1887</v>
      </c>
      <c r="F68" s="26" t="s">
        <v>355</v>
      </c>
      <c r="G68" s="25" t="s">
        <v>353</v>
      </c>
      <c r="H68" s="25" t="s">
        <v>154</v>
      </c>
      <c r="I68" s="25" t="s">
        <v>154</v>
      </c>
      <c r="J68" s="25" t="s">
        <v>154</v>
      </c>
      <c r="K68" s="25" t="s">
        <v>1888</v>
      </c>
      <c r="L68" s="25" t="s">
        <v>154</v>
      </c>
      <c r="M68" s="25" t="s">
        <v>154</v>
      </c>
    </row>
    <row r="69" customFormat="false" ht="15" hidden="false" customHeight="false" outlineLevel="0" collapsed="false">
      <c r="A69" s="24" t="s">
        <v>1885</v>
      </c>
      <c r="B69" s="24" t="s">
        <v>1878</v>
      </c>
      <c r="C69" s="24" t="n">
        <v>20</v>
      </c>
      <c r="D69" s="26" t="s">
        <v>1886</v>
      </c>
      <c r="E69" s="24" t="s">
        <v>1887</v>
      </c>
      <c r="F69" s="26" t="s">
        <v>362</v>
      </c>
      <c r="G69" s="25" t="s">
        <v>361</v>
      </c>
      <c r="H69" s="25" t="s">
        <v>154</v>
      </c>
      <c r="I69" s="25" t="s">
        <v>154</v>
      </c>
      <c r="J69" s="25" t="s">
        <v>154</v>
      </c>
      <c r="K69" s="25" t="s">
        <v>1888</v>
      </c>
      <c r="L69" s="25" t="s">
        <v>154</v>
      </c>
      <c r="M69" s="25" t="s">
        <v>154</v>
      </c>
    </row>
    <row r="70" customFormat="false" ht="15" hidden="false" customHeight="false" outlineLevel="0" collapsed="false">
      <c r="A70" s="24" t="s">
        <v>1885</v>
      </c>
      <c r="B70" s="24" t="s">
        <v>1878</v>
      </c>
      <c r="C70" s="24" t="n">
        <v>20</v>
      </c>
      <c r="D70" s="26" t="s">
        <v>1886</v>
      </c>
      <c r="E70" s="24" t="s">
        <v>1887</v>
      </c>
      <c r="F70" s="26" t="s">
        <v>385</v>
      </c>
      <c r="G70" s="25" t="s">
        <v>383</v>
      </c>
      <c r="H70" s="25" t="s">
        <v>154</v>
      </c>
      <c r="I70" s="25" t="s">
        <v>154</v>
      </c>
      <c r="J70" s="25" t="s">
        <v>154</v>
      </c>
      <c r="K70" s="25" t="s">
        <v>1888</v>
      </c>
      <c r="L70" s="25" t="s">
        <v>154</v>
      </c>
      <c r="M70" s="25" t="s">
        <v>154</v>
      </c>
    </row>
    <row r="71" customFormat="false" ht="15" hidden="false" customHeight="false" outlineLevel="0" collapsed="false">
      <c r="A71" s="24" t="s">
        <v>1885</v>
      </c>
      <c r="B71" s="24" t="s">
        <v>1878</v>
      </c>
      <c r="C71" s="24" t="n">
        <v>20</v>
      </c>
      <c r="D71" s="26" t="s">
        <v>1886</v>
      </c>
      <c r="E71" s="24" t="s">
        <v>1887</v>
      </c>
      <c r="F71" s="26" t="s">
        <v>1889</v>
      </c>
      <c r="G71" s="25" t="s">
        <v>392</v>
      </c>
      <c r="H71" s="25" t="s">
        <v>154</v>
      </c>
      <c r="I71" s="25" t="s">
        <v>154</v>
      </c>
      <c r="J71" s="25" t="s">
        <v>154</v>
      </c>
      <c r="K71" s="25" t="s">
        <v>1888</v>
      </c>
      <c r="L71" s="25" t="s">
        <v>154</v>
      </c>
      <c r="M71" s="25" t="s">
        <v>154</v>
      </c>
    </row>
    <row r="72" customFormat="false" ht="15" hidden="false" customHeight="false" outlineLevel="0" collapsed="false">
      <c r="A72" s="24" t="s">
        <v>1885</v>
      </c>
      <c r="B72" s="24" t="s">
        <v>1878</v>
      </c>
      <c r="C72" s="24" t="n">
        <v>20</v>
      </c>
      <c r="D72" s="26" t="s">
        <v>1886</v>
      </c>
      <c r="E72" s="24" t="s">
        <v>1887</v>
      </c>
      <c r="F72" s="26" t="s">
        <v>399</v>
      </c>
      <c r="G72" s="25" t="s">
        <v>398</v>
      </c>
      <c r="H72" s="25" t="s">
        <v>154</v>
      </c>
      <c r="I72" s="25" t="s">
        <v>154</v>
      </c>
      <c r="J72" s="25" t="s">
        <v>154</v>
      </c>
      <c r="K72" s="25" t="s">
        <v>1888</v>
      </c>
      <c r="L72" s="25" t="s">
        <v>154</v>
      </c>
      <c r="M72" s="25" t="s">
        <v>154</v>
      </c>
    </row>
    <row r="73" customFormat="false" ht="15" hidden="false" customHeight="false" outlineLevel="0" collapsed="false">
      <c r="A73" s="24" t="s">
        <v>1885</v>
      </c>
      <c r="B73" s="24" t="s">
        <v>1878</v>
      </c>
      <c r="C73" s="24" t="n">
        <v>20</v>
      </c>
      <c r="D73" s="26" t="s">
        <v>1886</v>
      </c>
      <c r="E73" s="24" t="s">
        <v>1887</v>
      </c>
      <c r="F73" s="26" t="s">
        <v>1890</v>
      </c>
      <c r="G73" s="25" t="s">
        <v>410</v>
      </c>
      <c r="H73" s="25" t="s">
        <v>154</v>
      </c>
      <c r="I73" s="25" t="s">
        <v>154</v>
      </c>
      <c r="J73" s="25" t="s">
        <v>154</v>
      </c>
      <c r="K73" s="25" t="s">
        <v>1888</v>
      </c>
      <c r="L73" s="25" t="s">
        <v>154</v>
      </c>
      <c r="M73" s="25" t="s">
        <v>154</v>
      </c>
    </row>
    <row r="74" customFormat="false" ht="15" hidden="false" customHeight="false" outlineLevel="0" collapsed="false">
      <c r="A74" s="24" t="s">
        <v>1885</v>
      </c>
      <c r="B74" s="24" t="s">
        <v>1878</v>
      </c>
      <c r="C74" s="24" t="n">
        <v>20</v>
      </c>
      <c r="D74" s="26" t="s">
        <v>1886</v>
      </c>
      <c r="E74" s="24" t="s">
        <v>1887</v>
      </c>
      <c r="F74" s="26" t="s">
        <v>418</v>
      </c>
      <c r="G74" s="25" t="s">
        <v>417</v>
      </c>
      <c r="H74" s="25" t="s">
        <v>154</v>
      </c>
      <c r="I74" s="25" t="s">
        <v>154</v>
      </c>
      <c r="J74" s="25" t="s">
        <v>154</v>
      </c>
      <c r="K74" s="25" t="s">
        <v>1888</v>
      </c>
      <c r="L74" s="25" t="s">
        <v>154</v>
      </c>
      <c r="M74" s="25" t="s">
        <v>154</v>
      </c>
    </row>
    <row r="75" customFormat="false" ht="15" hidden="false" customHeight="false" outlineLevel="0" collapsed="false">
      <c r="A75" s="24" t="s">
        <v>1885</v>
      </c>
      <c r="B75" s="24" t="s">
        <v>1878</v>
      </c>
      <c r="C75" s="24" t="n">
        <v>20</v>
      </c>
      <c r="D75" s="26" t="s">
        <v>1886</v>
      </c>
      <c r="E75" s="24" t="s">
        <v>1887</v>
      </c>
      <c r="F75" s="26" t="s">
        <v>1891</v>
      </c>
      <c r="G75" s="25" t="s">
        <v>335</v>
      </c>
      <c r="H75" s="25" t="s">
        <v>154</v>
      </c>
      <c r="I75" s="25" t="s">
        <v>154</v>
      </c>
      <c r="J75" s="25" t="s">
        <v>154</v>
      </c>
      <c r="K75" s="25" t="s">
        <v>1888</v>
      </c>
      <c r="L75" s="25" t="s">
        <v>154</v>
      </c>
      <c r="M75" s="25" t="s">
        <v>154</v>
      </c>
    </row>
    <row r="76" customFormat="false" ht="15" hidden="false" customHeight="false" outlineLevel="0" collapsed="false">
      <c r="A76" s="24" t="s">
        <v>1885</v>
      </c>
      <c r="B76" s="24" t="s">
        <v>1878</v>
      </c>
      <c r="C76" s="24" t="n">
        <v>20</v>
      </c>
      <c r="D76" s="26" t="s">
        <v>1886</v>
      </c>
      <c r="E76" s="24" t="s">
        <v>1887</v>
      </c>
      <c r="F76" s="26" t="s">
        <v>1892</v>
      </c>
      <c r="G76" s="25" t="s">
        <v>443</v>
      </c>
      <c r="H76" s="25" t="s">
        <v>154</v>
      </c>
      <c r="I76" s="25" t="s">
        <v>154</v>
      </c>
      <c r="J76" s="25" t="s">
        <v>154</v>
      </c>
      <c r="K76" s="25" t="s">
        <v>1888</v>
      </c>
      <c r="L76" s="25" t="s">
        <v>154</v>
      </c>
      <c r="M76" s="25" t="s">
        <v>154</v>
      </c>
    </row>
    <row r="77" customFormat="false" ht="15" hidden="false" customHeight="false" outlineLevel="0" collapsed="false">
      <c r="A77" s="24" t="s">
        <v>1885</v>
      </c>
      <c r="B77" s="24" t="s">
        <v>1878</v>
      </c>
      <c r="C77" s="24" t="n">
        <v>20</v>
      </c>
      <c r="D77" s="26" t="s">
        <v>1886</v>
      </c>
      <c r="E77" s="24" t="s">
        <v>1887</v>
      </c>
      <c r="F77" s="26" t="s">
        <v>1893</v>
      </c>
      <c r="G77" s="25" t="s">
        <v>448</v>
      </c>
      <c r="H77" s="25" t="s">
        <v>154</v>
      </c>
      <c r="I77" s="25" t="s">
        <v>154</v>
      </c>
      <c r="J77" s="25" t="s">
        <v>154</v>
      </c>
      <c r="K77" s="25" t="s">
        <v>1888</v>
      </c>
      <c r="L77" s="25" t="s">
        <v>154</v>
      </c>
      <c r="M77" s="25" t="s">
        <v>154</v>
      </c>
    </row>
    <row r="78" customFormat="false" ht="15" hidden="false" customHeight="false" outlineLevel="0" collapsed="false">
      <c r="A78" s="24" t="s">
        <v>1885</v>
      </c>
      <c r="B78" s="24" t="s">
        <v>1878</v>
      </c>
      <c r="C78" s="24" t="n">
        <v>20</v>
      </c>
      <c r="D78" s="26" t="s">
        <v>1886</v>
      </c>
      <c r="E78" s="24" t="s">
        <v>1887</v>
      </c>
      <c r="F78" s="26" t="s">
        <v>1894</v>
      </c>
      <c r="G78" s="25" t="s">
        <v>455</v>
      </c>
      <c r="H78" s="25" t="s">
        <v>154</v>
      </c>
      <c r="I78" s="25" t="s">
        <v>154</v>
      </c>
      <c r="J78" s="25" t="s">
        <v>154</v>
      </c>
      <c r="K78" s="25" t="s">
        <v>1888</v>
      </c>
      <c r="L78" s="25" t="s">
        <v>154</v>
      </c>
      <c r="M78" s="25" t="s">
        <v>154</v>
      </c>
    </row>
    <row r="79" customFormat="false" ht="15" hidden="false" customHeight="false" outlineLevel="0" collapsed="false">
      <c r="A79" s="24" t="s">
        <v>1885</v>
      </c>
      <c r="B79" s="24" t="s">
        <v>1878</v>
      </c>
      <c r="C79" s="24" t="n">
        <v>20</v>
      </c>
      <c r="D79" s="26" t="s">
        <v>1886</v>
      </c>
      <c r="E79" s="24" t="s">
        <v>1887</v>
      </c>
      <c r="F79" s="26" t="s">
        <v>463</v>
      </c>
      <c r="G79" s="25" t="s">
        <v>462</v>
      </c>
      <c r="H79" s="25" t="s">
        <v>154</v>
      </c>
      <c r="I79" s="25" t="s">
        <v>154</v>
      </c>
      <c r="J79" s="25" t="s">
        <v>154</v>
      </c>
      <c r="K79" s="25" t="s">
        <v>1888</v>
      </c>
      <c r="L79" s="25" t="s">
        <v>154</v>
      </c>
      <c r="M79" s="25" t="s">
        <v>154</v>
      </c>
    </row>
    <row r="80" customFormat="false" ht="15" hidden="false" customHeight="false" outlineLevel="0" collapsed="false">
      <c r="A80" s="24" t="s">
        <v>1885</v>
      </c>
      <c r="B80" s="24" t="s">
        <v>1878</v>
      </c>
      <c r="C80" s="24" t="n">
        <v>20</v>
      </c>
      <c r="D80" s="26" t="s">
        <v>1886</v>
      </c>
      <c r="E80" s="24" t="s">
        <v>1887</v>
      </c>
      <c r="F80" s="26" t="s">
        <v>1895</v>
      </c>
      <c r="G80" s="25" t="s">
        <v>317</v>
      </c>
      <c r="H80" s="25" t="s">
        <v>154</v>
      </c>
      <c r="I80" s="25" t="s">
        <v>1896</v>
      </c>
      <c r="J80" s="25" t="s">
        <v>154</v>
      </c>
      <c r="K80" s="25" t="s">
        <v>1888</v>
      </c>
      <c r="L80" s="25" t="s">
        <v>154</v>
      </c>
      <c r="M80" s="25" t="s">
        <v>154</v>
      </c>
    </row>
    <row r="81" customFormat="false" ht="15" hidden="false" customHeight="false" outlineLevel="0" collapsed="false">
      <c r="A81" s="24" t="s">
        <v>1885</v>
      </c>
      <c r="B81" s="24" t="s">
        <v>1878</v>
      </c>
      <c r="C81" s="24" t="n">
        <v>20</v>
      </c>
      <c r="D81" s="26" t="s">
        <v>1886</v>
      </c>
      <c r="E81" s="24" t="s">
        <v>1887</v>
      </c>
      <c r="F81" s="26" t="s">
        <v>290</v>
      </c>
      <c r="G81" s="25" t="s">
        <v>289</v>
      </c>
      <c r="H81" s="25" t="s">
        <v>154</v>
      </c>
      <c r="I81" s="25" t="s">
        <v>154</v>
      </c>
      <c r="J81" s="25" t="s">
        <v>154</v>
      </c>
      <c r="K81" s="25" t="s">
        <v>1888</v>
      </c>
      <c r="L81" s="25" t="s">
        <v>154</v>
      </c>
      <c r="M81" s="25" t="s">
        <v>154</v>
      </c>
    </row>
    <row r="82" customFormat="false" ht="15" hidden="false" customHeight="false" outlineLevel="0" collapsed="false">
      <c r="A82" s="24" t="s">
        <v>1885</v>
      </c>
      <c r="B82" s="24" t="s">
        <v>1878</v>
      </c>
      <c r="C82" s="24" t="n">
        <v>20</v>
      </c>
      <c r="D82" s="26" t="s">
        <v>1886</v>
      </c>
      <c r="E82" s="24" t="s">
        <v>1887</v>
      </c>
      <c r="F82" s="26" t="s">
        <v>650</v>
      </c>
      <c r="G82" s="25" t="s">
        <v>649</v>
      </c>
      <c r="H82" s="25" t="s">
        <v>154</v>
      </c>
      <c r="I82" s="25" t="s">
        <v>1897</v>
      </c>
      <c r="J82" s="25" t="s">
        <v>154</v>
      </c>
      <c r="K82" s="25" t="s">
        <v>1888</v>
      </c>
      <c r="L82" s="25" t="s">
        <v>154</v>
      </c>
      <c r="M82" s="25" t="s">
        <v>154</v>
      </c>
    </row>
    <row r="83" customFormat="false" ht="15" hidden="false" customHeight="false" outlineLevel="0" collapsed="false">
      <c r="A83" s="24" t="s">
        <v>1885</v>
      </c>
      <c r="B83" s="24" t="s">
        <v>1878</v>
      </c>
      <c r="C83" s="24" t="n">
        <v>20</v>
      </c>
      <c r="D83" s="26" t="s">
        <v>1886</v>
      </c>
      <c r="E83" s="24" t="s">
        <v>1887</v>
      </c>
      <c r="F83" s="26" t="s">
        <v>716</v>
      </c>
      <c r="G83" s="25" t="s">
        <v>715</v>
      </c>
      <c r="H83" s="25" t="s">
        <v>154</v>
      </c>
      <c r="I83" s="25" t="s">
        <v>154</v>
      </c>
      <c r="J83" s="25" t="s">
        <v>154</v>
      </c>
      <c r="K83" s="25" t="s">
        <v>1888</v>
      </c>
      <c r="L83" s="25" t="s">
        <v>154</v>
      </c>
      <c r="M83" s="25" t="s">
        <v>154</v>
      </c>
    </row>
    <row r="84" customFormat="false" ht="15" hidden="false" customHeight="false" outlineLevel="0" collapsed="false">
      <c r="A84" s="24" t="s">
        <v>1885</v>
      </c>
      <c r="B84" s="24" t="s">
        <v>1878</v>
      </c>
      <c r="C84" s="24" t="n">
        <v>20</v>
      </c>
      <c r="D84" s="26" t="s">
        <v>1886</v>
      </c>
      <c r="E84" s="24" t="s">
        <v>1887</v>
      </c>
      <c r="F84" s="26" t="s">
        <v>698</v>
      </c>
      <c r="G84" s="25" t="s">
        <v>696</v>
      </c>
      <c r="H84" s="25" t="s">
        <v>154</v>
      </c>
      <c r="I84" s="25" t="s">
        <v>154</v>
      </c>
      <c r="J84" s="25" t="s">
        <v>154</v>
      </c>
      <c r="K84" s="25" t="s">
        <v>1888</v>
      </c>
      <c r="L84" s="25" t="s">
        <v>154</v>
      </c>
      <c r="M84" s="25" t="s">
        <v>154</v>
      </c>
    </row>
    <row r="85" customFormat="false" ht="15" hidden="false" customHeight="false" outlineLevel="0" collapsed="false">
      <c r="A85" s="24" t="s">
        <v>1885</v>
      </c>
      <c r="B85" s="24" t="s">
        <v>1878</v>
      </c>
      <c r="C85" s="24" t="n">
        <v>20</v>
      </c>
      <c r="D85" s="26" t="s">
        <v>1886</v>
      </c>
      <c r="E85" s="24" t="s">
        <v>1887</v>
      </c>
      <c r="F85" s="26" t="s">
        <v>1898</v>
      </c>
      <c r="G85" s="25" t="s">
        <v>791</v>
      </c>
      <c r="H85" s="25" t="s">
        <v>154</v>
      </c>
      <c r="I85" s="25" t="s">
        <v>154</v>
      </c>
      <c r="J85" s="25" t="s">
        <v>154</v>
      </c>
      <c r="K85" s="25" t="s">
        <v>1888</v>
      </c>
      <c r="L85" s="25" t="s">
        <v>154</v>
      </c>
      <c r="M85" s="25" t="s">
        <v>154</v>
      </c>
    </row>
    <row r="86" customFormat="false" ht="15" hidden="false" customHeight="false" outlineLevel="0" collapsed="false">
      <c r="A86" s="24" t="s">
        <v>1885</v>
      </c>
      <c r="B86" s="24" t="s">
        <v>1878</v>
      </c>
      <c r="C86" s="24" t="n">
        <v>20</v>
      </c>
      <c r="D86" s="26" t="s">
        <v>1886</v>
      </c>
      <c r="E86" s="24" t="s">
        <v>1887</v>
      </c>
      <c r="F86" s="26" t="s">
        <v>801</v>
      </c>
      <c r="G86" s="25" t="s">
        <v>800</v>
      </c>
      <c r="H86" s="25" t="s">
        <v>154</v>
      </c>
      <c r="I86" s="25" t="s">
        <v>154</v>
      </c>
      <c r="J86" s="25" t="s">
        <v>154</v>
      </c>
      <c r="K86" s="25" t="s">
        <v>1888</v>
      </c>
      <c r="L86" s="25" t="s">
        <v>154</v>
      </c>
      <c r="M86" s="25" t="s">
        <v>154</v>
      </c>
    </row>
    <row r="87" customFormat="false" ht="15" hidden="false" customHeight="false" outlineLevel="0" collapsed="false">
      <c r="A87" s="24" t="s">
        <v>1885</v>
      </c>
      <c r="B87" s="24" t="s">
        <v>1878</v>
      </c>
      <c r="C87" s="24" t="n">
        <v>20</v>
      </c>
      <c r="D87" s="26" t="s">
        <v>1886</v>
      </c>
      <c r="E87" s="24" t="s">
        <v>1887</v>
      </c>
      <c r="F87" s="26" t="s">
        <v>1899</v>
      </c>
      <c r="G87" s="25" t="s">
        <v>1900</v>
      </c>
      <c r="H87" s="25" t="s">
        <v>154</v>
      </c>
      <c r="I87" s="25" t="s">
        <v>1901</v>
      </c>
      <c r="J87" s="25" t="s">
        <v>154</v>
      </c>
      <c r="K87" s="25" t="s">
        <v>1888</v>
      </c>
      <c r="L87" s="25" t="s">
        <v>154</v>
      </c>
      <c r="M87" s="25" t="s">
        <v>154</v>
      </c>
    </row>
    <row r="88" customFormat="false" ht="15" hidden="false" customHeight="false" outlineLevel="0" collapsed="false">
      <c r="A88" s="24" t="s">
        <v>1885</v>
      </c>
      <c r="B88" s="24" t="s">
        <v>1878</v>
      </c>
      <c r="C88" s="24" t="n">
        <v>20</v>
      </c>
      <c r="D88" s="26" t="s">
        <v>1886</v>
      </c>
      <c r="E88" s="24" t="s">
        <v>1887</v>
      </c>
      <c r="F88" s="26" t="s">
        <v>1902</v>
      </c>
      <c r="G88" s="25" t="s">
        <v>605</v>
      </c>
      <c r="H88" s="25" t="s">
        <v>154</v>
      </c>
      <c r="I88" s="25" t="s">
        <v>154</v>
      </c>
      <c r="J88" s="25" t="s">
        <v>154</v>
      </c>
      <c r="K88" s="25" t="s">
        <v>1888</v>
      </c>
      <c r="L88" s="25" t="s">
        <v>154</v>
      </c>
      <c r="M88" s="25" t="s">
        <v>154</v>
      </c>
    </row>
    <row r="89" customFormat="false" ht="15" hidden="false" customHeight="false" outlineLevel="0" collapsed="false">
      <c r="A89" s="24" t="s">
        <v>1885</v>
      </c>
      <c r="B89" s="24" t="s">
        <v>1878</v>
      </c>
      <c r="C89" s="24" t="n">
        <v>20</v>
      </c>
      <c r="D89" s="26" t="s">
        <v>1886</v>
      </c>
      <c r="E89" s="24" t="s">
        <v>1887</v>
      </c>
      <c r="F89" s="26" t="s">
        <v>1903</v>
      </c>
      <c r="G89" s="25" t="s">
        <v>840</v>
      </c>
      <c r="H89" s="25" t="s">
        <v>154</v>
      </c>
      <c r="I89" s="25" t="s">
        <v>154</v>
      </c>
      <c r="J89" s="25" t="s">
        <v>154</v>
      </c>
      <c r="K89" s="25" t="s">
        <v>1888</v>
      </c>
      <c r="L89" s="25" t="s">
        <v>154</v>
      </c>
      <c r="M89" s="25" t="s">
        <v>154</v>
      </c>
    </row>
  </sheetData>
  <autoFilter ref="A5:M8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1904</v>
      </c>
    </row>
    <row r="3" customFormat="false" ht="15" hidden="false" customHeight="false" outlineLevel="0" collapsed="false">
      <c r="A3" s="2" t="s">
        <v>1905</v>
      </c>
    </row>
    <row r="5" customFormat="false" ht="31.5" hidden="false" customHeight="true" outlineLevel="0" collapsed="false">
      <c r="A5" s="9" t="s">
        <v>1906</v>
      </c>
      <c r="B5" s="9" t="s">
        <v>38</v>
      </c>
      <c r="C5" s="9" t="s">
        <v>1907</v>
      </c>
      <c r="D5" s="9" t="s">
        <v>1746</v>
      </c>
      <c r="E5" s="9" t="s">
        <v>1908</v>
      </c>
      <c r="F5" s="9" t="s">
        <v>1909</v>
      </c>
      <c r="G5" s="9" t="s">
        <v>1910</v>
      </c>
    </row>
    <row r="6" customFormat="false" ht="15" hidden="false" customHeight="false" outlineLevel="0" collapsed="false">
      <c r="A6" s="16" t="s">
        <v>917</v>
      </c>
      <c r="B6" s="16" t="s">
        <v>917</v>
      </c>
      <c r="C6" s="19" t="s">
        <v>1911</v>
      </c>
      <c r="D6" s="18" t="s">
        <v>1912</v>
      </c>
      <c r="E6" s="16" t="s">
        <v>1913</v>
      </c>
      <c r="F6" s="16" t="s">
        <v>1914</v>
      </c>
      <c r="G6" s="19" t="s">
        <v>154</v>
      </c>
    </row>
    <row r="7" customFormat="false" ht="15" hidden="false" customHeight="false" outlineLevel="0" collapsed="false">
      <c r="A7" s="16" t="s">
        <v>941</v>
      </c>
      <c r="B7" s="16" t="s">
        <v>941</v>
      </c>
      <c r="C7" s="19" t="s">
        <v>1779</v>
      </c>
      <c r="D7" s="18" t="s">
        <v>1912</v>
      </c>
      <c r="E7" s="16" t="s">
        <v>1913</v>
      </c>
      <c r="F7" s="16" t="s">
        <v>1914</v>
      </c>
      <c r="G7" s="19" t="s">
        <v>154</v>
      </c>
    </row>
    <row r="8" customFormat="false" ht="15" hidden="false" customHeight="false" outlineLevel="0" collapsed="false">
      <c r="A8" s="16" t="s">
        <v>953</v>
      </c>
      <c r="B8" s="16" t="s">
        <v>953</v>
      </c>
      <c r="C8" s="19" t="s">
        <v>1782</v>
      </c>
      <c r="D8" s="18" t="s">
        <v>1912</v>
      </c>
      <c r="E8" s="16" t="s">
        <v>1913</v>
      </c>
      <c r="F8" s="16" t="s">
        <v>1914</v>
      </c>
      <c r="G8" s="19" t="s">
        <v>154</v>
      </c>
    </row>
    <row r="9" customFormat="false" ht="15" hidden="false" customHeight="false" outlineLevel="0" collapsed="false">
      <c r="A9" s="16" t="s">
        <v>977</v>
      </c>
      <c r="B9" s="16" t="s">
        <v>977</v>
      </c>
      <c r="C9" s="19" t="s">
        <v>1787</v>
      </c>
      <c r="D9" s="18" t="s">
        <v>1915</v>
      </c>
      <c r="E9" s="16" t="s">
        <v>1913</v>
      </c>
      <c r="F9" s="16" t="s">
        <v>1914</v>
      </c>
      <c r="G9" s="19" t="s">
        <v>154</v>
      </c>
    </row>
    <row r="10" customFormat="false" ht="15" hidden="false" customHeight="false" outlineLevel="0" collapsed="false">
      <c r="A10" s="16" t="s">
        <v>993</v>
      </c>
      <c r="B10" s="16" t="s">
        <v>993</v>
      </c>
      <c r="C10" s="19" t="s">
        <v>1785</v>
      </c>
      <c r="D10" s="18" t="s">
        <v>1916</v>
      </c>
      <c r="E10" s="16" t="s">
        <v>1913</v>
      </c>
      <c r="F10" s="16" t="s">
        <v>1914</v>
      </c>
      <c r="G10" s="19" t="s">
        <v>154</v>
      </c>
    </row>
    <row r="11" customFormat="false" ht="23.85" hidden="false" customHeight="false" outlineLevel="0" collapsed="false">
      <c r="A11" s="16" t="s">
        <v>997</v>
      </c>
      <c r="B11" s="16" t="s">
        <v>997</v>
      </c>
      <c r="C11" s="19" t="s">
        <v>157</v>
      </c>
      <c r="D11" s="18" t="s">
        <v>1917</v>
      </c>
      <c r="E11" s="16" t="s">
        <v>1913</v>
      </c>
      <c r="F11" s="16" t="s">
        <v>1914</v>
      </c>
      <c r="G11" s="19" t="s">
        <v>1918</v>
      </c>
    </row>
    <row r="12" customFormat="false" ht="15" hidden="false" customHeight="false" outlineLevel="0" collapsed="false">
      <c r="A12" s="16" t="s">
        <v>1010</v>
      </c>
      <c r="B12" s="16" t="s">
        <v>1010</v>
      </c>
      <c r="C12" s="19" t="s">
        <v>146</v>
      </c>
      <c r="D12" s="18" t="s">
        <v>1919</v>
      </c>
      <c r="E12" s="16" t="s">
        <v>1913</v>
      </c>
      <c r="F12" s="16" t="s">
        <v>1914</v>
      </c>
      <c r="G12" s="19" t="s">
        <v>154</v>
      </c>
    </row>
    <row r="13" customFormat="false" ht="23.85" hidden="false" customHeight="false" outlineLevel="0" collapsed="false">
      <c r="A13" s="16" t="s">
        <v>1920</v>
      </c>
      <c r="B13" s="16" t="s">
        <v>1921</v>
      </c>
      <c r="C13" s="19" t="s">
        <v>1922</v>
      </c>
      <c r="D13" s="18" t="s">
        <v>1923</v>
      </c>
      <c r="E13" s="16" t="s">
        <v>1913</v>
      </c>
      <c r="F13" s="16" t="s">
        <v>1914</v>
      </c>
      <c r="G13" s="19" t="s">
        <v>1924</v>
      </c>
    </row>
    <row r="14" customFormat="false" ht="23.85" hidden="false" customHeight="false" outlineLevel="0" collapsed="false">
      <c r="A14" s="16" t="s">
        <v>1925</v>
      </c>
      <c r="B14" s="16" t="s">
        <v>1926</v>
      </c>
      <c r="C14" s="19" t="s">
        <v>1927</v>
      </c>
      <c r="D14" s="18" t="s">
        <v>1923</v>
      </c>
      <c r="E14" s="16" t="s">
        <v>1913</v>
      </c>
      <c r="F14" s="16" t="s">
        <v>1914</v>
      </c>
      <c r="G14" s="19" t="s">
        <v>1924</v>
      </c>
    </row>
    <row r="15" customFormat="false" ht="23.85" hidden="false" customHeight="false" outlineLevel="0" collapsed="false">
      <c r="A15" s="16" t="s">
        <v>1928</v>
      </c>
      <c r="B15" s="16" t="s">
        <v>1929</v>
      </c>
      <c r="C15" s="19" t="s">
        <v>1930</v>
      </c>
      <c r="D15" s="18" t="s">
        <v>1923</v>
      </c>
      <c r="E15" s="16" t="s">
        <v>1913</v>
      </c>
      <c r="F15" s="16" t="s">
        <v>1914</v>
      </c>
      <c r="G15" s="19" t="s">
        <v>1924</v>
      </c>
    </row>
    <row r="16" customFormat="false" ht="23.85" hidden="false" customHeight="false" outlineLevel="0" collapsed="false">
      <c r="A16" s="16" t="s">
        <v>1931</v>
      </c>
      <c r="B16" s="16" t="s">
        <v>1932</v>
      </c>
      <c r="C16" s="19" t="s">
        <v>1933</v>
      </c>
      <c r="D16" s="18" t="s">
        <v>1934</v>
      </c>
      <c r="E16" s="16" t="s">
        <v>1913</v>
      </c>
      <c r="F16" s="16" t="s">
        <v>1914</v>
      </c>
      <c r="G16" s="19" t="s">
        <v>1924</v>
      </c>
    </row>
    <row r="17" customFormat="false" ht="23.85" hidden="false" customHeight="false" outlineLevel="0" collapsed="false">
      <c r="A17" s="16" t="s">
        <v>1935</v>
      </c>
      <c r="B17" s="16" t="s">
        <v>1936</v>
      </c>
      <c r="C17" s="19" t="s">
        <v>1937</v>
      </c>
      <c r="D17" s="18" t="s">
        <v>1938</v>
      </c>
      <c r="E17" s="16" t="s">
        <v>1913</v>
      </c>
      <c r="F17" s="16" t="s">
        <v>1914</v>
      </c>
      <c r="G17" s="19" t="s">
        <v>1924</v>
      </c>
    </row>
    <row r="18" customFormat="false" ht="23.85" hidden="false" customHeight="false" outlineLevel="0" collapsed="false">
      <c r="A18" s="16" t="s">
        <v>1014</v>
      </c>
      <c r="B18" s="16" t="s">
        <v>1014</v>
      </c>
      <c r="C18" s="19" t="s">
        <v>1939</v>
      </c>
      <c r="D18" s="18" t="s">
        <v>1940</v>
      </c>
      <c r="E18" s="16" t="s">
        <v>1913</v>
      </c>
      <c r="F18" s="16" t="s">
        <v>1941</v>
      </c>
      <c r="G18" s="19" t="s">
        <v>154</v>
      </c>
    </row>
    <row r="19" customFormat="false" ht="23.85" hidden="false" customHeight="false" outlineLevel="0" collapsed="false">
      <c r="A19" s="16" t="s">
        <v>1038</v>
      </c>
      <c r="B19" s="16" t="s">
        <v>1038</v>
      </c>
      <c r="C19" s="19" t="s">
        <v>1942</v>
      </c>
      <c r="D19" s="18" t="s">
        <v>1940</v>
      </c>
      <c r="E19" s="16" t="s">
        <v>1913</v>
      </c>
      <c r="F19" s="16" t="s">
        <v>1941</v>
      </c>
      <c r="G19" s="19" t="s">
        <v>154</v>
      </c>
    </row>
    <row r="20" customFormat="false" ht="23.85" hidden="false" customHeight="false" outlineLevel="0" collapsed="false">
      <c r="A20" s="16" t="s">
        <v>1574</v>
      </c>
      <c r="B20" s="16" t="s">
        <v>1574</v>
      </c>
      <c r="C20" s="19" t="s">
        <v>1943</v>
      </c>
      <c r="D20" s="18" t="s">
        <v>1944</v>
      </c>
      <c r="E20" s="16" t="s">
        <v>1913</v>
      </c>
      <c r="F20" s="16" t="s">
        <v>1941</v>
      </c>
      <c r="G20" s="19" t="s">
        <v>154</v>
      </c>
    </row>
    <row r="21" customFormat="false" ht="23.85" hidden="false" customHeight="false" outlineLevel="0" collapsed="false">
      <c r="A21" s="16" t="s">
        <v>1092</v>
      </c>
      <c r="B21" s="16" t="s">
        <v>1092</v>
      </c>
      <c r="C21" s="19" t="s">
        <v>262</v>
      </c>
      <c r="D21" s="18" t="s">
        <v>1945</v>
      </c>
      <c r="E21" s="16" t="s">
        <v>1913</v>
      </c>
      <c r="F21" s="16" t="s">
        <v>1941</v>
      </c>
      <c r="G21" s="19" t="s">
        <v>154</v>
      </c>
    </row>
    <row r="22" customFormat="false" ht="23.85" hidden="false" customHeight="false" outlineLevel="0" collapsed="false">
      <c r="A22" s="16" t="s">
        <v>1594</v>
      </c>
      <c r="B22" s="16" t="s">
        <v>1594</v>
      </c>
      <c r="C22" s="19" t="s">
        <v>1810</v>
      </c>
      <c r="D22" s="18" t="s">
        <v>1946</v>
      </c>
      <c r="E22" s="16" t="s">
        <v>1913</v>
      </c>
      <c r="F22" s="16" t="s">
        <v>1914</v>
      </c>
      <c r="G22" s="19" t="s">
        <v>154</v>
      </c>
    </row>
    <row r="23" customFormat="false" ht="15" hidden="false" customHeight="false" outlineLevel="0" collapsed="false">
      <c r="A23" s="16" t="s">
        <v>1552</v>
      </c>
      <c r="B23" s="16" t="s">
        <v>1552</v>
      </c>
      <c r="C23" s="19" t="s">
        <v>296</v>
      </c>
      <c r="D23" s="18" t="s">
        <v>1947</v>
      </c>
      <c r="E23" s="16" t="s">
        <v>1913</v>
      </c>
      <c r="F23" s="16" t="s">
        <v>1941</v>
      </c>
      <c r="G23" s="19" t="s">
        <v>154</v>
      </c>
    </row>
    <row r="24" customFormat="false" ht="23.85" hidden="false" customHeight="false" outlineLevel="0" collapsed="false">
      <c r="A24" s="16" t="s">
        <v>1699</v>
      </c>
      <c r="B24" s="16" t="s">
        <v>1699</v>
      </c>
      <c r="C24" s="19" t="s">
        <v>768</v>
      </c>
      <c r="D24" s="18" t="s">
        <v>1948</v>
      </c>
      <c r="E24" s="16" t="s">
        <v>1913</v>
      </c>
      <c r="F24" s="16" t="s">
        <v>1941</v>
      </c>
      <c r="G24" s="19" t="s">
        <v>154</v>
      </c>
    </row>
    <row r="25" customFormat="false" ht="23.85" hidden="false" customHeight="false" outlineLevel="0" collapsed="false">
      <c r="A25" s="16" t="s">
        <v>1569</v>
      </c>
      <c r="B25" s="16" t="s">
        <v>1569</v>
      </c>
      <c r="C25" s="19" t="s">
        <v>1949</v>
      </c>
      <c r="D25" s="18" t="s">
        <v>1950</v>
      </c>
      <c r="E25" s="16" t="s">
        <v>1913</v>
      </c>
      <c r="F25" s="16" t="s">
        <v>1914</v>
      </c>
      <c r="G25" s="19" t="s">
        <v>154</v>
      </c>
    </row>
    <row r="26" customFormat="false" ht="23.85" hidden="false" customHeight="false" outlineLevel="0" collapsed="false">
      <c r="A26" s="16" t="s">
        <v>1584</v>
      </c>
      <c r="B26" s="16" t="s">
        <v>1584</v>
      </c>
      <c r="C26" s="19" t="s">
        <v>1951</v>
      </c>
      <c r="D26" s="18" t="s">
        <v>1952</v>
      </c>
      <c r="E26" s="16" t="s">
        <v>1913</v>
      </c>
      <c r="F26" s="16" t="s">
        <v>1953</v>
      </c>
      <c r="G26" s="19" t="s">
        <v>1954</v>
      </c>
    </row>
    <row r="27" customFormat="false" ht="15" hidden="false" customHeight="false" outlineLevel="0" collapsed="false">
      <c r="A27" s="16" t="s">
        <v>1302</v>
      </c>
      <c r="B27" s="16" t="s">
        <v>1302</v>
      </c>
      <c r="C27" s="19" t="s">
        <v>1955</v>
      </c>
      <c r="D27" s="18" t="s">
        <v>1956</v>
      </c>
      <c r="E27" s="16" t="s">
        <v>1913</v>
      </c>
      <c r="F27" s="16" t="s">
        <v>1957</v>
      </c>
      <c r="G27" s="19" t="s">
        <v>1958</v>
      </c>
    </row>
    <row r="28" customFormat="false" ht="23.85" hidden="false" customHeight="false" outlineLevel="0" collapsed="false">
      <c r="A28" s="16" t="s">
        <v>1309</v>
      </c>
      <c r="B28" s="16" t="s">
        <v>1309</v>
      </c>
      <c r="C28" s="19" t="s">
        <v>1955</v>
      </c>
      <c r="D28" s="18" t="s">
        <v>1959</v>
      </c>
      <c r="E28" s="16" t="s">
        <v>1913</v>
      </c>
      <c r="F28" s="16" t="s">
        <v>641</v>
      </c>
      <c r="G28" s="19" t="s">
        <v>1960</v>
      </c>
    </row>
    <row r="29" customFormat="false" ht="15" hidden="false" customHeight="false" outlineLevel="0" collapsed="false">
      <c r="A29" s="16" t="s">
        <v>1326</v>
      </c>
      <c r="B29" s="16" t="s">
        <v>1326</v>
      </c>
      <c r="C29" s="19" t="s">
        <v>1961</v>
      </c>
      <c r="D29" s="18" t="s">
        <v>1962</v>
      </c>
      <c r="E29" s="16" t="s">
        <v>1913</v>
      </c>
      <c r="F29" s="16" t="s">
        <v>1914</v>
      </c>
      <c r="G29" s="19" t="s">
        <v>154</v>
      </c>
    </row>
    <row r="30" customFormat="false" ht="15" hidden="false" customHeight="false" outlineLevel="0" collapsed="false">
      <c r="A30" s="16" t="s">
        <v>1388</v>
      </c>
      <c r="B30" s="16" t="s">
        <v>1388</v>
      </c>
      <c r="C30" s="19" t="s">
        <v>1963</v>
      </c>
      <c r="D30" s="18" t="s">
        <v>1964</v>
      </c>
      <c r="E30" s="16" t="s">
        <v>1913</v>
      </c>
      <c r="F30" s="16" t="s">
        <v>1953</v>
      </c>
      <c r="G30" s="19" t="s">
        <v>154</v>
      </c>
    </row>
    <row r="31" customFormat="false" ht="15" hidden="false" customHeight="false" outlineLevel="0" collapsed="false">
      <c r="A31" s="16" t="s">
        <v>1674</v>
      </c>
      <c r="B31" s="16" t="s">
        <v>1674</v>
      </c>
      <c r="C31" s="19" t="s">
        <v>1965</v>
      </c>
      <c r="D31" s="18" t="s">
        <v>1966</v>
      </c>
      <c r="E31" s="16" t="s">
        <v>1913</v>
      </c>
      <c r="F31" s="16" t="s">
        <v>1967</v>
      </c>
      <c r="G31" s="19" t="s">
        <v>1968</v>
      </c>
    </row>
    <row r="32" customFormat="false" ht="23.85" hidden="false" customHeight="false" outlineLevel="0" collapsed="false">
      <c r="A32" s="16" t="s">
        <v>1246</v>
      </c>
      <c r="B32" s="16" t="s">
        <v>1246</v>
      </c>
      <c r="C32" s="19" t="s">
        <v>1969</v>
      </c>
      <c r="D32" s="18" t="s">
        <v>1970</v>
      </c>
      <c r="E32" s="16" t="s">
        <v>1971</v>
      </c>
      <c r="F32" s="16" t="s">
        <v>154</v>
      </c>
      <c r="G32" s="19" t="s">
        <v>1972</v>
      </c>
    </row>
    <row r="33" customFormat="false" ht="35.05" hidden="false" customHeight="false" outlineLevel="0" collapsed="false">
      <c r="A33" s="16" t="s">
        <v>1366</v>
      </c>
      <c r="B33" s="16" t="s">
        <v>1366</v>
      </c>
      <c r="C33" s="19" t="s">
        <v>1973</v>
      </c>
      <c r="D33" s="18" t="s">
        <v>1974</v>
      </c>
      <c r="E33" s="16" t="s">
        <v>1975</v>
      </c>
      <c r="F33" s="16" t="s">
        <v>641</v>
      </c>
      <c r="G33" s="19" t="s">
        <v>1976</v>
      </c>
    </row>
    <row r="34" customFormat="false" ht="23.85" hidden="false" customHeight="false" outlineLevel="0" collapsed="false">
      <c r="A34" s="16" t="s">
        <v>1727</v>
      </c>
      <c r="B34" s="16" t="s">
        <v>1727</v>
      </c>
      <c r="C34" s="19" t="s">
        <v>1840</v>
      </c>
      <c r="D34" s="18" t="s">
        <v>1977</v>
      </c>
      <c r="E34" s="16" t="s">
        <v>1978</v>
      </c>
      <c r="F34" s="16" t="s">
        <v>1941</v>
      </c>
      <c r="G34" s="19" t="s">
        <v>1979</v>
      </c>
    </row>
    <row r="35" customFormat="false" ht="23.85" hidden="false" customHeight="false" outlineLevel="0" collapsed="false">
      <c r="A35" s="16" t="s">
        <v>1732</v>
      </c>
      <c r="B35" s="16" t="s">
        <v>1732</v>
      </c>
      <c r="C35" s="19" t="s">
        <v>1843</v>
      </c>
      <c r="D35" s="18" t="s">
        <v>1980</v>
      </c>
      <c r="E35" s="16" t="s">
        <v>1978</v>
      </c>
      <c r="F35" s="16" t="s">
        <v>1967</v>
      </c>
      <c r="G35" s="19" t="s">
        <v>1981</v>
      </c>
    </row>
    <row r="36" customFormat="false" ht="23.85" hidden="false" customHeight="false" outlineLevel="0" collapsed="false">
      <c r="A36" s="16" t="s">
        <v>1649</v>
      </c>
      <c r="B36" s="16" t="s">
        <v>1649</v>
      </c>
      <c r="C36" s="19" t="s">
        <v>1982</v>
      </c>
      <c r="D36" s="18" t="s">
        <v>1983</v>
      </c>
      <c r="E36" s="16" t="s">
        <v>1984</v>
      </c>
      <c r="F36" s="16" t="s">
        <v>154</v>
      </c>
      <c r="G36" s="19" t="s">
        <v>1985</v>
      </c>
    </row>
    <row r="37" customFormat="false" ht="15" hidden="false" customHeight="false" outlineLevel="0" collapsed="false">
      <c r="A37" s="29" t="s">
        <v>1362</v>
      </c>
      <c r="B37" s="29" t="s">
        <v>1362</v>
      </c>
      <c r="C37" s="21" t="s">
        <v>1973</v>
      </c>
      <c r="D37" s="30" t="s">
        <v>154</v>
      </c>
      <c r="E37" s="29" t="s">
        <v>76</v>
      </c>
      <c r="F37" s="29" t="s">
        <v>154</v>
      </c>
      <c r="G37" s="21" t="s">
        <v>1986</v>
      </c>
    </row>
    <row r="38" customFormat="false" ht="15" hidden="false" customHeight="false" outlineLevel="0" collapsed="false">
      <c r="A38" s="29" t="s">
        <v>1383</v>
      </c>
      <c r="B38" s="29" t="s">
        <v>1383</v>
      </c>
      <c r="C38" s="21" t="s">
        <v>1963</v>
      </c>
      <c r="D38" s="30" t="s">
        <v>154</v>
      </c>
      <c r="E38" s="29" t="s">
        <v>76</v>
      </c>
      <c r="F38" s="29" t="s">
        <v>154</v>
      </c>
      <c r="G38" s="21" t="s">
        <v>1987</v>
      </c>
    </row>
    <row r="39" customFormat="false" ht="23.85" hidden="false" customHeight="false" outlineLevel="0" collapsed="false">
      <c r="A39" s="29" t="s">
        <v>1418</v>
      </c>
      <c r="B39" s="29" t="s">
        <v>1418</v>
      </c>
      <c r="C39" s="21" t="s">
        <v>737</v>
      </c>
      <c r="D39" s="30" t="s">
        <v>154</v>
      </c>
      <c r="E39" s="29" t="s">
        <v>76</v>
      </c>
      <c r="F39" s="29" t="s">
        <v>154</v>
      </c>
      <c r="G39" s="21" t="s">
        <v>1988</v>
      </c>
    </row>
    <row r="40" customFormat="false" ht="15" hidden="false" customHeight="false" outlineLevel="0" collapsed="false">
      <c r="A40" s="29" t="s">
        <v>1456</v>
      </c>
      <c r="B40" s="29" t="s">
        <v>1456</v>
      </c>
      <c r="C40" s="21" t="s">
        <v>778</v>
      </c>
      <c r="D40" s="30" t="s">
        <v>154</v>
      </c>
      <c r="E40" s="29" t="s">
        <v>76</v>
      </c>
      <c r="F40" s="29" t="s">
        <v>154</v>
      </c>
      <c r="G40" s="21" t="s">
        <v>1986</v>
      </c>
    </row>
    <row r="41" customFormat="false" ht="23.85" hidden="false" customHeight="false" outlineLevel="0" collapsed="false">
      <c r="A41" s="29" t="s">
        <v>1004</v>
      </c>
      <c r="B41" s="29" t="s">
        <v>1004</v>
      </c>
      <c r="C41" s="21" t="s">
        <v>157</v>
      </c>
      <c r="D41" s="30" t="s">
        <v>154</v>
      </c>
      <c r="E41" s="29" t="s">
        <v>1989</v>
      </c>
      <c r="F41" s="29" t="s">
        <v>154</v>
      </c>
      <c r="G41" s="21" t="s">
        <v>1990</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1991</v>
      </c>
    </row>
    <row r="3" customFormat="false" ht="15" hidden="false" customHeight="false" outlineLevel="0" collapsed="false">
      <c r="A3" s="2" t="s">
        <v>1992</v>
      </c>
    </row>
    <row r="5" customFormat="false" ht="31.5" hidden="false" customHeight="true" outlineLevel="0" collapsed="false">
      <c r="A5" s="9" t="s">
        <v>1993</v>
      </c>
      <c r="B5" s="9" t="s">
        <v>1994</v>
      </c>
      <c r="C5" s="9" t="s">
        <v>1995</v>
      </c>
      <c r="D5" s="9" t="s">
        <v>1996</v>
      </c>
      <c r="E5" s="9" t="s">
        <v>1997</v>
      </c>
      <c r="F5" s="9" t="s">
        <v>1998</v>
      </c>
      <c r="G5" s="9" t="s">
        <v>1999</v>
      </c>
      <c r="H5" s="9" t="s">
        <v>2000</v>
      </c>
      <c r="I5" s="9" t="s">
        <v>2001</v>
      </c>
      <c r="J5" s="9" t="s">
        <v>2002</v>
      </c>
    </row>
    <row r="6" customFormat="false" ht="46.25" hidden="false" customHeight="false" outlineLevel="0" collapsed="false">
      <c r="A6" s="10" t="s">
        <v>2003</v>
      </c>
      <c r="B6" s="15" t="s">
        <v>2004</v>
      </c>
      <c r="C6" s="15" t="s">
        <v>2005</v>
      </c>
      <c r="D6" s="15" t="s">
        <v>2006</v>
      </c>
      <c r="E6" s="15" t="s">
        <v>2007</v>
      </c>
      <c r="F6" s="15" t="s">
        <v>2008</v>
      </c>
      <c r="G6" s="15" t="s">
        <v>2009</v>
      </c>
      <c r="H6" s="15" t="s">
        <v>2010</v>
      </c>
      <c r="I6" s="15" t="s">
        <v>2011</v>
      </c>
      <c r="J6" s="18" t="s">
        <v>2012</v>
      </c>
    </row>
    <row r="7" customFormat="false" ht="35.05" hidden="false" customHeight="false" outlineLevel="0" collapsed="false">
      <c r="A7" s="10" t="s">
        <v>2013</v>
      </c>
      <c r="B7" s="15" t="s">
        <v>2013</v>
      </c>
      <c r="C7" s="15" t="s">
        <v>2014</v>
      </c>
      <c r="D7" s="15" t="s">
        <v>2015</v>
      </c>
      <c r="E7" s="15" t="s">
        <v>2016</v>
      </c>
      <c r="F7" s="15" t="s">
        <v>2017</v>
      </c>
      <c r="G7" s="15" t="s">
        <v>2018</v>
      </c>
      <c r="H7" s="15" t="s">
        <v>2019</v>
      </c>
      <c r="I7" s="15" t="s">
        <v>2020</v>
      </c>
      <c r="J7" s="18" t="s">
        <v>2012</v>
      </c>
    </row>
    <row r="8" customFormat="false" ht="35.05" hidden="false" customHeight="false" outlineLevel="0" collapsed="false">
      <c r="A8" s="10" t="s">
        <v>2021</v>
      </c>
      <c r="B8" s="15" t="s">
        <v>2021</v>
      </c>
      <c r="C8" s="15" t="s">
        <v>2022</v>
      </c>
      <c r="D8" s="15" t="s">
        <v>2023</v>
      </c>
      <c r="E8" s="15" t="s">
        <v>2024</v>
      </c>
      <c r="F8" s="15" t="s">
        <v>2017</v>
      </c>
      <c r="G8" s="15" t="s">
        <v>2025</v>
      </c>
      <c r="H8" s="15" t="s">
        <v>2026</v>
      </c>
      <c r="I8" s="15" t="s">
        <v>2027</v>
      </c>
      <c r="J8" s="18" t="s">
        <v>2012</v>
      </c>
    </row>
    <row r="9" customFormat="false" ht="57.45" hidden="false" customHeight="false" outlineLevel="0" collapsed="false">
      <c r="A9" s="10" t="s">
        <v>2028</v>
      </c>
      <c r="B9" s="15" t="s">
        <v>2028</v>
      </c>
      <c r="C9" s="15" t="s">
        <v>2029</v>
      </c>
      <c r="D9" s="15" t="s">
        <v>2030</v>
      </c>
      <c r="E9" s="15" t="s">
        <v>2031</v>
      </c>
      <c r="F9" s="15" t="s">
        <v>2017</v>
      </c>
      <c r="G9" s="15" t="s">
        <v>2032</v>
      </c>
      <c r="H9" s="15" t="s">
        <v>2033</v>
      </c>
      <c r="I9" s="15" t="s">
        <v>2034</v>
      </c>
      <c r="J9" s="18" t="s">
        <v>2012</v>
      </c>
    </row>
    <row r="10" customFormat="false" ht="57.45" hidden="false" customHeight="false" outlineLevel="0" collapsed="false">
      <c r="A10" s="10" t="s">
        <v>2035</v>
      </c>
      <c r="B10" s="15" t="s">
        <v>2035</v>
      </c>
      <c r="C10" s="15" t="s">
        <v>2029</v>
      </c>
      <c r="D10" s="15" t="s">
        <v>2036</v>
      </c>
      <c r="E10" s="15" t="s">
        <v>2037</v>
      </c>
      <c r="F10" s="15" t="s">
        <v>2017</v>
      </c>
      <c r="G10" s="15" t="s">
        <v>2038</v>
      </c>
      <c r="H10" s="15" t="s">
        <v>154</v>
      </c>
      <c r="I10" s="15" t="s">
        <v>2039</v>
      </c>
      <c r="J10" s="18" t="s">
        <v>2012</v>
      </c>
    </row>
    <row r="11" customFormat="false" ht="35.05" hidden="false" customHeight="false" outlineLevel="0" collapsed="false">
      <c r="A11" s="10" t="s">
        <v>2040</v>
      </c>
      <c r="B11" s="15" t="s">
        <v>2041</v>
      </c>
      <c r="C11" s="15" t="s">
        <v>2042</v>
      </c>
      <c r="D11" s="15" t="s">
        <v>2043</v>
      </c>
      <c r="E11" s="15" t="s">
        <v>2044</v>
      </c>
      <c r="F11" s="15" t="s">
        <v>2017</v>
      </c>
      <c r="G11" s="15" t="s">
        <v>2045</v>
      </c>
      <c r="H11" s="15" t="s">
        <v>2046</v>
      </c>
      <c r="I11" s="15" t="s">
        <v>2047</v>
      </c>
      <c r="J11" s="18" t="s">
        <v>2048</v>
      </c>
    </row>
    <row r="12" customFormat="false" ht="35.05" hidden="false" customHeight="false" outlineLevel="0" collapsed="false">
      <c r="A12" s="10" t="s">
        <v>2049</v>
      </c>
      <c r="B12" s="15" t="s">
        <v>2050</v>
      </c>
      <c r="C12" s="15" t="s">
        <v>2042</v>
      </c>
      <c r="D12" s="15" t="s">
        <v>2051</v>
      </c>
      <c r="E12" s="15" t="s">
        <v>2052</v>
      </c>
      <c r="F12" s="15" t="s">
        <v>2017</v>
      </c>
      <c r="G12" s="15" t="s">
        <v>2045</v>
      </c>
      <c r="H12" s="15" t="s">
        <v>2053</v>
      </c>
      <c r="I12" s="15" t="s">
        <v>2054</v>
      </c>
      <c r="J12" s="18" t="s">
        <v>2055</v>
      </c>
    </row>
    <row r="13" customFormat="false" ht="35.05" hidden="false" customHeight="false" outlineLevel="0" collapsed="false">
      <c r="A13" s="10" t="s">
        <v>2056</v>
      </c>
      <c r="B13" s="15" t="s">
        <v>2057</v>
      </c>
      <c r="C13" s="15" t="s">
        <v>2042</v>
      </c>
      <c r="D13" s="15" t="s">
        <v>2058</v>
      </c>
      <c r="E13" s="15" t="s">
        <v>2059</v>
      </c>
      <c r="F13" s="15" t="s">
        <v>2017</v>
      </c>
      <c r="G13" s="15" t="s">
        <v>2060</v>
      </c>
      <c r="H13" s="15" t="s">
        <v>2061</v>
      </c>
      <c r="I13" s="15" t="s">
        <v>2062</v>
      </c>
      <c r="J13" s="18" t="s">
        <v>2063</v>
      </c>
    </row>
    <row r="14" customFormat="false" ht="23.85" hidden="false" customHeight="false" outlineLevel="0" collapsed="false">
      <c r="A14" s="10" t="s">
        <v>2064</v>
      </c>
      <c r="B14" s="15" t="s">
        <v>2065</v>
      </c>
      <c r="C14" s="15" t="s">
        <v>2066</v>
      </c>
      <c r="D14" s="15" t="s">
        <v>2067</v>
      </c>
      <c r="E14" s="15" t="s">
        <v>2068</v>
      </c>
      <c r="F14" s="15" t="s">
        <v>2017</v>
      </c>
      <c r="G14" s="15" t="s">
        <v>2069</v>
      </c>
      <c r="H14" s="15" t="s">
        <v>2070</v>
      </c>
      <c r="I14" s="15" t="s">
        <v>2071</v>
      </c>
      <c r="J14" s="18" t="s">
        <v>2072</v>
      </c>
    </row>
    <row r="15" customFormat="false" ht="46.25" hidden="false" customHeight="false" outlineLevel="0" collapsed="false">
      <c r="A15" s="10" t="s">
        <v>2073</v>
      </c>
      <c r="B15" s="15" t="s">
        <v>2074</v>
      </c>
      <c r="C15" s="15" t="s">
        <v>2075</v>
      </c>
      <c r="D15" s="15" t="s">
        <v>2076</v>
      </c>
      <c r="E15" s="15" t="s">
        <v>2077</v>
      </c>
      <c r="F15" s="15" t="s">
        <v>154</v>
      </c>
      <c r="G15" s="15" t="s">
        <v>182</v>
      </c>
      <c r="H15" s="15" t="s">
        <v>2078</v>
      </c>
      <c r="I15" s="15" t="s">
        <v>2079</v>
      </c>
      <c r="J15" s="18" t="s">
        <v>2080</v>
      </c>
    </row>
    <row r="16" customFormat="false" ht="15" hidden="false" customHeight="false" outlineLevel="0" collapsed="false">
      <c r="A16" s="10" t="s">
        <v>2081</v>
      </c>
      <c r="B16" s="15" t="s">
        <v>2082</v>
      </c>
      <c r="C16" s="15" t="s">
        <v>2042</v>
      </c>
      <c r="D16" s="15" t="s">
        <v>2017</v>
      </c>
      <c r="E16" s="15" t="s">
        <v>2017</v>
      </c>
      <c r="F16" s="15" t="s">
        <v>2017</v>
      </c>
      <c r="G16" s="15" t="s">
        <v>2083</v>
      </c>
      <c r="H16" s="15" t="s">
        <v>154</v>
      </c>
      <c r="I16" s="15" t="s">
        <v>154</v>
      </c>
      <c r="J16" s="18" t="s">
        <v>2017</v>
      </c>
    </row>
    <row r="17" customFormat="false" ht="15" hidden="false" customHeight="false" outlineLevel="0" collapsed="false">
      <c r="A17" s="10" t="s">
        <v>2084</v>
      </c>
      <c r="B17" s="15" t="s">
        <v>2085</v>
      </c>
      <c r="C17" s="15" t="s">
        <v>2042</v>
      </c>
      <c r="D17" s="15" t="s">
        <v>2017</v>
      </c>
      <c r="E17" s="15" t="s">
        <v>2017</v>
      </c>
      <c r="F17" s="15" t="s">
        <v>2017</v>
      </c>
      <c r="G17" s="15" t="s">
        <v>2083</v>
      </c>
      <c r="H17" s="15" t="s">
        <v>154</v>
      </c>
      <c r="I17" s="15" t="s">
        <v>154</v>
      </c>
      <c r="J17" s="18" t="s">
        <v>2017</v>
      </c>
    </row>
    <row r="18" customFormat="false" ht="23.85" hidden="false" customHeight="false" outlineLevel="0" collapsed="false">
      <c r="A18" s="10" t="s">
        <v>2086</v>
      </c>
      <c r="B18" s="15" t="s">
        <v>2087</v>
      </c>
      <c r="C18" s="15" t="s">
        <v>2042</v>
      </c>
      <c r="D18" s="15" t="s">
        <v>2017</v>
      </c>
      <c r="E18" s="15" t="s">
        <v>2017</v>
      </c>
      <c r="F18" s="15" t="s">
        <v>2017</v>
      </c>
      <c r="G18" s="15" t="s">
        <v>2083</v>
      </c>
      <c r="H18" s="15" t="s">
        <v>154</v>
      </c>
      <c r="I18" s="15" t="s">
        <v>154</v>
      </c>
      <c r="J18" s="18" t="s">
        <v>2017</v>
      </c>
    </row>
    <row r="19" customFormat="false" ht="23.85" hidden="false" customHeight="false" outlineLevel="0" collapsed="false">
      <c r="A19" s="10" t="s">
        <v>2088</v>
      </c>
      <c r="B19" s="15" t="s">
        <v>2089</v>
      </c>
      <c r="C19" s="15" t="s">
        <v>2090</v>
      </c>
      <c r="D19" s="15" t="s">
        <v>2017</v>
      </c>
      <c r="E19" s="15" t="s">
        <v>2017</v>
      </c>
      <c r="F19" s="15" t="s">
        <v>2017</v>
      </c>
      <c r="G19" s="15" t="s">
        <v>2091</v>
      </c>
      <c r="H19" s="15" t="s">
        <v>154</v>
      </c>
      <c r="I19" s="15" t="s">
        <v>154</v>
      </c>
      <c r="J19" s="18" t="s">
        <v>2017</v>
      </c>
    </row>
    <row r="20" customFormat="false" ht="35.05" hidden="false" customHeight="false" outlineLevel="0" collapsed="false">
      <c r="A20" s="10" t="s">
        <v>2092</v>
      </c>
      <c r="B20" s="15" t="s">
        <v>2093</v>
      </c>
      <c r="C20" s="15" t="s">
        <v>2094</v>
      </c>
      <c r="D20" s="15" t="s">
        <v>2017</v>
      </c>
      <c r="E20" s="15" t="s">
        <v>2017</v>
      </c>
      <c r="F20" s="15" t="s">
        <v>2017</v>
      </c>
      <c r="G20" s="15" t="s">
        <v>2095</v>
      </c>
      <c r="H20" s="15" t="s">
        <v>2096</v>
      </c>
      <c r="I20" s="15" t="s">
        <v>154</v>
      </c>
      <c r="J20" s="18" t="s">
        <v>2017</v>
      </c>
    </row>
    <row r="21" customFormat="false" ht="23.85" hidden="false" customHeight="false" outlineLevel="0" collapsed="false">
      <c r="A21" s="10" t="s">
        <v>2097</v>
      </c>
      <c r="B21" s="15" t="s">
        <v>2098</v>
      </c>
      <c r="C21" s="15" t="s">
        <v>2099</v>
      </c>
      <c r="D21" s="15" t="s">
        <v>2017</v>
      </c>
      <c r="E21" s="15" t="s">
        <v>2017</v>
      </c>
      <c r="F21" s="15" t="s">
        <v>2017</v>
      </c>
      <c r="G21" s="15" t="s">
        <v>305</v>
      </c>
      <c r="H21" s="15" t="s">
        <v>154</v>
      </c>
      <c r="I21" s="15" t="s">
        <v>154</v>
      </c>
      <c r="J21" s="18" t="s">
        <v>2017</v>
      </c>
    </row>
    <row r="22" customFormat="false" ht="35.05" hidden="false" customHeight="false" outlineLevel="0" collapsed="false">
      <c r="A22" s="10" t="s">
        <v>2100</v>
      </c>
      <c r="B22" s="15" t="s">
        <v>2101</v>
      </c>
      <c r="C22" s="15" t="s">
        <v>2102</v>
      </c>
      <c r="D22" s="15" t="s">
        <v>2017</v>
      </c>
      <c r="E22" s="15" t="s">
        <v>2017</v>
      </c>
      <c r="F22" s="15" t="s">
        <v>2017</v>
      </c>
      <c r="G22" s="15" t="s">
        <v>2103</v>
      </c>
      <c r="H22" s="15" t="s">
        <v>154</v>
      </c>
      <c r="I22" s="15" t="s">
        <v>154</v>
      </c>
      <c r="J22" s="18" t="s">
        <v>2017</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2104</v>
      </c>
    </row>
    <row r="3" customFormat="false" ht="15" hidden="false" customHeight="false" outlineLevel="0" collapsed="false">
      <c r="A3" s="2" t="s">
        <v>2105</v>
      </c>
    </row>
    <row r="5" customFormat="false" ht="31.5" hidden="false" customHeight="true" outlineLevel="0" collapsed="false">
      <c r="A5" s="9" t="s">
        <v>79</v>
      </c>
      <c r="B5" s="9" t="s">
        <v>924</v>
      </c>
      <c r="C5" s="9" t="s">
        <v>2106</v>
      </c>
      <c r="D5" s="9" t="s">
        <v>2107</v>
      </c>
      <c r="E5" s="9" t="s">
        <v>2108</v>
      </c>
      <c r="F5" s="9" t="s">
        <v>2109</v>
      </c>
      <c r="G5" s="9" t="s">
        <v>2110</v>
      </c>
      <c r="H5" s="9" t="s">
        <v>2111</v>
      </c>
      <c r="I5" s="9" t="s">
        <v>2001</v>
      </c>
      <c r="J5" s="9" t="s">
        <v>2112</v>
      </c>
      <c r="K5" s="9" t="s">
        <v>2113</v>
      </c>
      <c r="L5" s="9" t="s">
        <v>2114</v>
      </c>
      <c r="M5" s="9" t="s">
        <v>2115</v>
      </c>
      <c r="N5" s="9" t="s">
        <v>2116</v>
      </c>
    </row>
    <row r="6" customFormat="false" ht="35.05" hidden="false" customHeight="false" outlineLevel="0" collapsed="false">
      <c r="A6" s="15" t="s">
        <v>2117</v>
      </c>
      <c r="B6" s="18" t="s">
        <v>2118</v>
      </c>
      <c r="C6" s="15" t="s">
        <v>2119</v>
      </c>
      <c r="D6" s="15" t="s">
        <v>2120</v>
      </c>
      <c r="E6" s="15" t="s">
        <v>919</v>
      </c>
      <c r="F6" s="15" t="s">
        <v>2121</v>
      </c>
      <c r="G6" s="15" t="s">
        <v>2122</v>
      </c>
      <c r="H6" s="15" t="s">
        <v>2123</v>
      </c>
      <c r="I6" s="15" t="s">
        <v>2124</v>
      </c>
      <c r="J6" s="28" t="s">
        <v>154</v>
      </c>
      <c r="K6" s="28" t="s">
        <v>2125</v>
      </c>
      <c r="L6" s="28" t="s">
        <v>154</v>
      </c>
      <c r="M6" s="28" t="s">
        <v>1598</v>
      </c>
      <c r="N6" s="28" t="s">
        <v>2126</v>
      </c>
    </row>
    <row r="7" customFormat="false" ht="46.25" hidden="false" customHeight="false" outlineLevel="0" collapsed="false">
      <c r="A7" s="15" t="s">
        <v>2127</v>
      </c>
      <c r="B7" s="18" t="s">
        <v>2128</v>
      </c>
      <c r="C7" s="15" t="s">
        <v>2129</v>
      </c>
      <c r="D7" s="15" t="s">
        <v>2130</v>
      </c>
      <c r="E7" s="15" t="s">
        <v>2131</v>
      </c>
      <c r="F7" s="15" t="s">
        <v>2132</v>
      </c>
      <c r="G7" s="15" t="s">
        <v>2133</v>
      </c>
      <c r="H7" s="15" t="s">
        <v>2134</v>
      </c>
      <c r="I7" s="15" t="s">
        <v>2135</v>
      </c>
      <c r="J7" s="28" t="s">
        <v>2136</v>
      </c>
      <c r="K7" s="28" t="s">
        <v>2137</v>
      </c>
      <c r="L7" s="28" t="s">
        <v>154</v>
      </c>
      <c r="M7" s="28" t="s">
        <v>2138</v>
      </c>
      <c r="N7" s="28" t="s">
        <v>2139</v>
      </c>
    </row>
    <row r="8" customFormat="false" ht="35.05" hidden="false" customHeight="false" outlineLevel="0" collapsed="false">
      <c r="A8" s="15" t="s">
        <v>2140</v>
      </c>
      <c r="B8" s="18" t="s">
        <v>2141</v>
      </c>
      <c r="C8" s="15" t="s">
        <v>2142</v>
      </c>
      <c r="D8" s="15" t="s">
        <v>2143</v>
      </c>
      <c r="E8" s="15" t="s">
        <v>2144</v>
      </c>
      <c r="F8" s="15" t="s">
        <v>2145</v>
      </c>
      <c r="G8" s="15" t="s">
        <v>113</v>
      </c>
      <c r="H8" s="15" t="s">
        <v>2146</v>
      </c>
      <c r="I8" s="15" t="s">
        <v>2135</v>
      </c>
      <c r="J8" s="28" t="s">
        <v>154</v>
      </c>
      <c r="K8" s="28" t="s">
        <v>2147</v>
      </c>
      <c r="L8" s="28" t="s">
        <v>154</v>
      </c>
      <c r="M8" s="28" t="s">
        <v>2148</v>
      </c>
      <c r="N8" s="28" t="s">
        <v>154</v>
      </c>
    </row>
    <row r="9" customFormat="false" ht="35.05" hidden="false" customHeight="false" outlineLevel="0" collapsed="false">
      <c r="A9" s="15" t="s">
        <v>2149</v>
      </c>
      <c r="B9" s="18" t="s">
        <v>2150</v>
      </c>
      <c r="C9" s="15" t="s">
        <v>2151</v>
      </c>
      <c r="D9" s="15" t="s">
        <v>2152</v>
      </c>
      <c r="E9" s="15" t="s">
        <v>2153</v>
      </c>
      <c r="F9" s="15" t="s">
        <v>2154</v>
      </c>
      <c r="G9" s="15" t="s">
        <v>113</v>
      </c>
      <c r="H9" s="15" t="s">
        <v>2155</v>
      </c>
      <c r="I9" s="15" t="s">
        <v>2156</v>
      </c>
      <c r="J9" s="28" t="s">
        <v>154</v>
      </c>
      <c r="K9" s="28" t="s">
        <v>154</v>
      </c>
      <c r="L9" s="28" t="s">
        <v>154</v>
      </c>
      <c r="M9" s="28" t="s">
        <v>154</v>
      </c>
      <c r="N9" s="28" t="s">
        <v>2157</v>
      </c>
    </row>
    <row r="10" customFormat="false" ht="23.85" hidden="false" customHeight="false" outlineLevel="0" collapsed="false">
      <c r="A10" s="15" t="s">
        <v>2158</v>
      </c>
      <c r="B10" s="18" t="s">
        <v>2159</v>
      </c>
      <c r="C10" s="15" t="s">
        <v>2160</v>
      </c>
      <c r="D10" s="15" t="s">
        <v>2161</v>
      </c>
      <c r="E10" s="15" t="s">
        <v>2162</v>
      </c>
      <c r="F10" s="15" t="s">
        <v>2163</v>
      </c>
      <c r="G10" s="15" t="s">
        <v>2164</v>
      </c>
      <c r="H10" s="15" t="s">
        <v>2165</v>
      </c>
      <c r="I10" s="15" t="s">
        <v>2156</v>
      </c>
      <c r="J10" s="28" t="s">
        <v>154</v>
      </c>
      <c r="K10" s="28" t="s">
        <v>154</v>
      </c>
      <c r="L10" s="28" t="s">
        <v>154</v>
      </c>
      <c r="M10" s="28" t="s">
        <v>154</v>
      </c>
      <c r="N10" s="28" t="s">
        <v>2166</v>
      </c>
    </row>
    <row r="11" customFormat="false" ht="46.25" hidden="false" customHeight="false" outlineLevel="0" collapsed="false">
      <c r="A11" s="15" t="s">
        <v>2167</v>
      </c>
      <c r="B11" s="18" t="s">
        <v>2168</v>
      </c>
      <c r="C11" s="15" t="s">
        <v>2169</v>
      </c>
      <c r="D11" s="15" t="s">
        <v>2170</v>
      </c>
      <c r="E11" s="15" t="s">
        <v>2171</v>
      </c>
      <c r="F11" s="15" t="s">
        <v>2172</v>
      </c>
      <c r="G11" s="15" t="s">
        <v>2173</v>
      </c>
      <c r="H11" s="15" t="s">
        <v>2174</v>
      </c>
      <c r="I11" s="15" t="s">
        <v>2175</v>
      </c>
      <c r="J11" s="28" t="s">
        <v>2176</v>
      </c>
      <c r="K11" s="28" t="s">
        <v>154</v>
      </c>
      <c r="L11" s="28" t="s">
        <v>154</v>
      </c>
      <c r="M11" s="28" t="s">
        <v>154</v>
      </c>
      <c r="N11" s="28" t="s">
        <v>2177</v>
      </c>
    </row>
    <row r="12" customFormat="false" ht="35.05" hidden="false" customHeight="false" outlineLevel="0" collapsed="false">
      <c r="A12" s="15" t="s">
        <v>2178</v>
      </c>
      <c r="B12" s="18" t="s">
        <v>2179</v>
      </c>
      <c r="C12" s="15" t="s">
        <v>2180</v>
      </c>
      <c r="D12" s="15" t="s">
        <v>2181</v>
      </c>
      <c r="E12" s="15" t="s">
        <v>2182</v>
      </c>
      <c r="F12" s="15" t="s">
        <v>2183</v>
      </c>
      <c r="G12" s="15" t="s">
        <v>644</v>
      </c>
      <c r="H12" s="15" t="s">
        <v>2184</v>
      </c>
      <c r="I12" s="15" t="s">
        <v>2185</v>
      </c>
      <c r="J12" s="28" t="s">
        <v>154</v>
      </c>
      <c r="K12" s="28" t="s">
        <v>2186</v>
      </c>
      <c r="L12" s="28" t="s">
        <v>154</v>
      </c>
      <c r="M12" s="28" t="s">
        <v>2187</v>
      </c>
      <c r="N12" s="28" t="s">
        <v>154</v>
      </c>
    </row>
    <row r="13" customFormat="false" ht="35.05" hidden="false" customHeight="false" outlineLevel="0" collapsed="false">
      <c r="A13" s="15" t="s">
        <v>2188</v>
      </c>
      <c r="B13" s="18" t="s">
        <v>2189</v>
      </c>
      <c r="C13" s="15" t="s">
        <v>2190</v>
      </c>
      <c r="D13" s="15" t="s">
        <v>2191</v>
      </c>
      <c r="E13" s="15" t="s">
        <v>2192</v>
      </c>
      <c r="F13" s="15" t="s">
        <v>2193</v>
      </c>
      <c r="G13" s="15" t="s">
        <v>2194</v>
      </c>
      <c r="H13" s="15" t="s">
        <v>2195</v>
      </c>
      <c r="I13" s="15" t="s">
        <v>2196</v>
      </c>
      <c r="J13" s="28" t="s">
        <v>2197</v>
      </c>
      <c r="K13" s="28" t="s">
        <v>154</v>
      </c>
      <c r="L13" s="28" t="s">
        <v>2198</v>
      </c>
      <c r="M13" s="28" t="s">
        <v>2199</v>
      </c>
      <c r="N13" s="28" t="s">
        <v>154</v>
      </c>
    </row>
    <row r="14" customFormat="false" ht="46.25" hidden="false" customHeight="false" outlineLevel="0" collapsed="false">
      <c r="A14" s="15" t="s">
        <v>2200</v>
      </c>
      <c r="B14" s="18" t="s">
        <v>2201</v>
      </c>
      <c r="C14" s="15" t="s">
        <v>2202</v>
      </c>
      <c r="D14" s="15" t="s">
        <v>2203</v>
      </c>
      <c r="E14" s="15" t="s">
        <v>2204</v>
      </c>
      <c r="F14" s="15" t="s">
        <v>2193</v>
      </c>
      <c r="G14" s="15" t="s">
        <v>2205</v>
      </c>
      <c r="H14" s="15" t="s">
        <v>2206</v>
      </c>
      <c r="I14" s="15" t="s">
        <v>2207</v>
      </c>
      <c r="J14" s="28" t="s">
        <v>154</v>
      </c>
      <c r="K14" s="28" t="s">
        <v>154</v>
      </c>
      <c r="L14" s="28" t="s">
        <v>154</v>
      </c>
      <c r="M14" s="28" t="s">
        <v>154</v>
      </c>
      <c r="N14" s="28" t="s">
        <v>2208</v>
      </c>
    </row>
    <row r="15" customFormat="false" ht="35.05" hidden="false" customHeight="false" outlineLevel="0" collapsed="false">
      <c r="A15" s="15" t="s">
        <v>2209</v>
      </c>
      <c r="B15" s="18" t="s">
        <v>2210</v>
      </c>
      <c r="C15" s="15" t="s">
        <v>2211</v>
      </c>
      <c r="D15" s="15" t="s">
        <v>2212</v>
      </c>
      <c r="E15" s="15" t="s">
        <v>2213</v>
      </c>
      <c r="F15" s="15" t="s">
        <v>2193</v>
      </c>
      <c r="G15" s="15" t="s">
        <v>2214</v>
      </c>
      <c r="H15" s="15" t="s">
        <v>2215</v>
      </c>
      <c r="I15" s="15" t="s">
        <v>2216</v>
      </c>
      <c r="J15" s="28" t="s">
        <v>2217</v>
      </c>
      <c r="K15" s="28" t="s">
        <v>154</v>
      </c>
      <c r="L15" s="28" t="s">
        <v>154</v>
      </c>
      <c r="M15" s="28" t="s">
        <v>154</v>
      </c>
      <c r="N15" s="28" t="s">
        <v>2218</v>
      </c>
    </row>
    <row r="16" customFormat="false" ht="23.85" hidden="false" customHeight="false" outlineLevel="0" collapsed="false">
      <c r="A16" s="15" t="s">
        <v>2219</v>
      </c>
      <c r="B16" s="18" t="s">
        <v>1675</v>
      </c>
      <c r="C16" s="15" t="s">
        <v>2220</v>
      </c>
      <c r="D16" s="15" t="s">
        <v>2221</v>
      </c>
      <c r="E16" s="15" t="s">
        <v>2222</v>
      </c>
      <c r="F16" s="15" t="s">
        <v>2223</v>
      </c>
      <c r="G16" s="15" t="s">
        <v>2224</v>
      </c>
      <c r="H16" s="15" t="s">
        <v>2225</v>
      </c>
      <c r="I16" s="15" t="s">
        <v>2226</v>
      </c>
      <c r="J16" s="28" t="s">
        <v>154</v>
      </c>
      <c r="K16" s="28" t="s">
        <v>154</v>
      </c>
      <c r="L16" s="28" t="s">
        <v>2227</v>
      </c>
      <c r="M16" s="28" t="s">
        <v>154</v>
      </c>
      <c r="N16" s="28" t="s">
        <v>2228</v>
      </c>
    </row>
    <row r="17" customFormat="false" ht="23.85" hidden="false" customHeight="false" outlineLevel="0" collapsed="false">
      <c r="A17" s="15" t="s">
        <v>2229</v>
      </c>
      <c r="B17" s="18" t="s">
        <v>2230</v>
      </c>
      <c r="C17" s="15" t="s">
        <v>2231</v>
      </c>
      <c r="D17" s="15" t="s">
        <v>2232</v>
      </c>
      <c r="E17" s="15" t="s">
        <v>2222</v>
      </c>
      <c r="F17" s="15" t="s">
        <v>2223</v>
      </c>
      <c r="G17" s="15" t="s">
        <v>2224</v>
      </c>
      <c r="H17" s="15" t="s">
        <v>2233</v>
      </c>
      <c r="I17" s="15" t="s">
        <v>2226</v>
      </c>
      <c r="J17" s="28" t="s">
        <v>154</v>
      </c>
      <c r="K17" s="28" t="s">
        <v>154</v>
      </c>
      <c r="L17" s="28" t="s">
        <v>2227</v>
      </c>
      <c r="M17" s="28" t="s">
        <v>154</v>
      </c>
      <c r="N17" s="28" t="s">
        <v>2228</v>
      </c>
    </row>
    <row r="18" customFormat="false" ht="35.05" hidden="false" customHeight="false" outlineLevel="0" collapsed="false">
      <c r="A18" s="15" t="s">
        <v>2234</v>
      </c>
      <c r="B18" s="18" t="s">
        <v>2235</v>
      </c>
      <c r="C18" s="15" t="s">
        <v>2236</v>
      </c>
      <c r="D18" s="15" t="s">
        <v>2237</v>
      </c>
      <c r="E18" s="15" t="s">
        <v>2238</v>
      </c>
      <c r="F18" s="15" t="s">
        <v>2163</v>
      </c>
      <c r="G18" s="15" t="s">
        <v>2239</v>
      </c>
      <c r="H18" s="15" t="s">
        <v>2240</v>
      </c>
      <c r="I18" s="15" t="s">
        <v>2241</v>
      </c>
      <c r="J18" s="28" t="s">
        <v>154</v>
      </c>
      <c r="K18" s="28" t="s">
        <v>154</v>
      </c>
      <c r="L18" s="28" t="s">
        <v>2242</v>
      </c>
      <c r="M18" s="28" t="s">
        <v>2243</v>
      </c>
      <c r="N18" s="28" t="s">
        <v>2244</v>
      </c>
    </row>
    <row r="19" customFormat="false" ht="23.85" hidden="false" customHeight="false" outlineLevel="0" collapsed="false">
      <c r="A19" s="15" t="s">
        <v>2245</v>
      </c>
      <c r="B19" s="18" t="s">
        <v>2246</v>
      </c>
      <c r="C19" s="15" t="s">
        <v>2247</v>
      </c>
      <c r="D19" s="15" t="s">
        <v>2248</v>
      </c>
      <c r="E19" s="15" t="s">
        <v>2249</v>
      </c>
      <c r="F19" s="15" t="s">
        <v>2145</v>
      </c>
      <c r="G19" s="15" t="s">
        <v>2250</v>
      </c>
      <c r="H19" s="15" t="s">
        <v>2251</v>
      </c>
      <c r="I19" s="15" t="s">
        <v>2252</v>
      </c>
      <c r="J19" s="28" t="s">
        <v>154</v>
      </c>
      <c r="K19" s="28" t="s">
        <v>2253</v>
      </c>
      <c r="L19" s="28" t="s">
        <v>154</v>
      </c>
      <c r="M19" s="28" t="s">
        <v>2254</v>
      </c>
      <c r="N19" s="28" t="s">
        <v>154</v>
      </c>
    </row>
    <row r="20" customFormat="false" ht="23.85" hidden="false" customHeight="false" outlineLevel="0" collapsed="false">
      <c r="A20" s="15" t="s">
        <v>2255</v>
      </c>
      <c r="B20" s="18" t="s">
        <v>2256</v>
      </c>
      <c r="C20" s="15" t="s">
        <v>2257</v>
      </c>
      <c r="D20" s="15" t="s">
        <v>2258</v>
      </c>
      <c r="E20" s="15" t="s">
        <v>2259</v>
      </c>
      <c r="F20" s="15" t="s">
        <v>2163</v>
      </c>
      <c r="G20" s="15" t="s">
        <v>2260</v>
      </c>
      <c r="H20" s="15" t="s">
        <v>2261</v>
      </c>
      <c r="I20" s="15" t="s">
        <v>2262</v>
      </c>
      <c r="J20" s="28" t="s">
        <v>154</v>
      </c>
      <c r="K20" s="28" t="s">
        <v>154</v>
      </c>
      <c r="L20" s="28" t="s">
        <v>2263</v>
      </c>
      <c r="M20" s="28" t="s">
        <v>2264</v>
      </c>
      <c r="N20" s="28" t="s">
        <v>2265</v>
      </c>
    </row>
    <row r="21" customFormat="false" ht="23.85" hidden="false" customHeight="false" outlineLevel="0" collapsed="false">
      <c r="A21" s="15" t="s">
        <v>2266</v>
      </c>
      <c r="B21" s="18" t="s">
        <v>2267</v>
      </c>
      <c r="C21" s="15" t="s">
        <v>2268</v>
      </c>
      <c r="D21" s="15" t="s">
        <v>2269</v>
      </c>
      <c r="E21" s="15" t="s">
        <v>2270</v>
      </c>
      <c r="F21" s="15" t="s">
        <v>2193</v>
      </c>
      <c r="G21" s="15" t="s">
        <v>849</v>
      </c>
      <c r="H21" s="15" t="s">
        <v>2271</v>
      </c>
      <c r="I21" s="15" t="s">
        <v>2272</v>
      </c>
      <c r="J21" s="28" t="s">
        <v>154</v>
      </c>
      <c r="K21" s="28" t="s">
        <v>154</v>
      </c>
      <c r="L21" s="28" t="s">
        <v>154</v>
      </c>
      <c r="M21" s="28" t="s">
        <v>154</v>
      </c>
      <c r="N21" s="28" t="s">
        <v>2273</v>
      </c>
    </row>
    <row r="22" customFormat="false" ht="35.05" hidden="false" customHeight="false" outlineLevel="0" collapsed="false">
      <c r="A22" s="15" t="s">
        <v>2274</v>
      </c>
      <c r="B22" s="18" t="s">
        <v>2275</v>
      </c>
      <c r="C22" s="15" t="s">
        <v>2276</v>
      </c>
      <c r="D22" s="15" t="s">
        <v>2277</v>
      </c>
      <c r="E22" s="15" t="s">
        <v>2278</v>
      </c>
      <c r="F22" s="15" t="s">
        <v>2193</v>
      </c>
      <c r="G22" s="15" t="s">
        <v>2279</v>
      </c>
      <c r="H22" s="15" t="s">
        <v>2280</v>
      </c>
      <c r="I22" s="15" t="s">
        <v>2281</v>
      </c>
      <c r="J22" s="28" t="s">
        <v>154</v>
      </c>
      <c r="K22" s="28" t="s">
        <v>154</v>
      </c>
      <c r="L22" s="28" t="s">
        <v>154</v>
      </c>
      <c r="M22" s="28" t="s">
        <v>2282</v>
      </c>
      <c r="N22" s="28" t="s">
        <v>2283</v>
      </c>
    </row>
    <row r="23" customFormat="false" ht="23.85" hidden="false" customHeight="false" outlineLevel="0" collapsed="false">
      <c r="A23" s="15" t="s">
        <v>2284</v>
      </c>
      <c r="B23" s="18" t="s">
        <v>2285</v>
      </c>
      <c r="C23" s="15" t="s">
        <v>2286</v>
      </c>
      <c r="D23" s="15" t="s">
        <v>2287</v>
      </c>
      <c r="E23" s="15" t="s">
        <v>2288</v>
      </c>
      <c r="F23" s="15" t="s">
        <v>2289</v>
      </c>
      <c r="G23" s="15" t="s">
        <v>228</v>
      </c>
      <c r="H23" s="15" t="s">
        <v>2290</v>
      </c>
      <c r="I23" s="15" t="s">
        <v>2281</v>
      </c>
      <c r="J23" s="28" t="s">
        <v>154</v>
      </c>
      <c r="K23" s="28" t="s">
        <v>154</v>
      </c>
      <c r="L23" s="28" t="s">
        <v>2291</v>
      </c>
      <c r="M23" s="28" t="s">
        <v>2292</v>
      </c>
      <c r="N23" s="28" t="s">
        <v>154</v>
      </c>
    </row>
    <row r="24" customFormat="false" ht="23.85" hidden="false" customHeight="false" outlineLevel="0" collapsed="false">
      <c r="A24" s="15" t="s">
        <v>2293</v>
      </c>
      <c r="B24" s="18" t="s">
        <v>2294</v>
      </c>
      <c r="C24" s="15" t="s">
        <v>2295</v>
      </c>
      <c r="D24" s="15" t="s">
        <v>2296</v>
      </c>
      <c r="E24" s="15" t="s">
        <v>2297</v>
      </c>
      <c r="F24" s="15" t="s">
        <v>2193</v>
      </c>
      <c r="G24" s="15" t="s">
        <v>2298</v>
      </c>
      <c r="H24" s="15" t="s">
        <v>2299</v>
      </c>
      <c r="I24" s="15" t="s">
        <v>2300</v>
      </c>
      <c r="J24" s="28" t="s">
        <v>154</v>
      </c>
      <c r="K24" s="28" t="s">
        <v>154</v>
      </c>
      <c r="L24" s="28" t="s">
        <v>154</v>
      </c>
      <c r="M24" s="28" t="s">
        <v>2301</v>
      </c>
      <c r="N24" s="28" t="s">
        <v>2302</v>
      </c>
    </row>
    <row r="25" customFormat="false" ht="35.05" hidden="false" customHeight="false" outlineLevel="0" collapsed="false">
      <c r="A25" s="15" t="s">
        <v>2303</v>
      </c>
      <c r="B25" s="18" t="s">
        <v>2304</v>
      </c>
      <c r="C25" s="15" t="s">
        <v>2305</v>
      </c>
      <c r="D25" s="15" t="s">
        <v>874</v>
      </c>
      <c r="E25" s="15" t="s">
        <v>2306</v>
      </c>
      <c r="F25" s="15" t="s">
        <v>2307</v>
      </c>
      <c r="G25" s="15" t="s">
        <v>877</v>
      </c>
      <c r="H25" s="15" t="s">
        <v>2308</v>
      </c>
      <c r="I25" s="15" t="s">
        <v>2309</v>
      </c>
      <c r="J25" s="28" t="s">
        <v>2310</v>
      </c>
      <c r="K25" s="28" t="s">
        <v>154</v>
      </c>
      <c r="L25" s="28" t="s">
        <v>154</v>
      </c>
      <c r="M25" s="28" t="s">
        <v>154</v>
      </c>
      <c r="N25" s="28" t="s">
        <v>2311</v>
      </c>
    </row>
    <row r="26" customFormat="false" ht="57.45" hidden="false" customHeight="false" outlineLevel="0" collapsed="false">
      <c r="A26" s="15" t="s">
        <v>2312</v>
      </c>
      <c r="B26" s="18" t="s">
        <v>2313</v>
      </c>
      <c r="C26" s="15" t="s">
        <v>2314</v>
      </c>
      <c r="D26" s="15" t="s">
        <v>2315</v>
      </c>
      <c r="E26" s="15" t="s">
        <v>2316</v>
      </c>
      <c r="F26" s="15" t="s">
        <v>2307</v>
      </c>
      <c r="G26" s="15" t="s">
        <v>877</v>
      </c>
      <c r="H26" s="15" t="s">
        <v>889</v>
      </c>
      <c r="I26" s="15" t="s">
        <v>2317</v>
      </c>
      <c r="J26" s="28" t="s">
        <v>2310</v>
      </c>
      <c r="K26" s="28" t="s">
        <v>154</v>
      </c>
      <c r="L26" s="28" t="s">
        <v>154</v>
      </c>
      <c r="M26" s="28" t="s">
        <v>154</v>
      </c>
      <c r="N26" s="28" t="s">
        <v>154</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2318</v>
      </c>
    </row>
    <row r="3" customFormat="false" ht="15" hidden="false" customHeight="false" outlineLevel="0" collapsed="false">
      <c r="A3" s="2" t="s">
        <v>2319</v>
      </c>
    </row>
    <row r="5" customFormat="false" ht="31.5" hidden="false" customHeight="true" outlineLevel="0" collapsed="false">
      <c r="A5" s="9" t="s">
        <v>2320</v>
      </c>
      <c r="B5" s="9" t="s">
        <v>1906</v>
      </c>
      <c r="C5" s="9" t="s">
        <v>2321</v>
      </c>
      <c r="D5" s="9" t="s">
        <v>2322</v>
      </c>
    </row>
    <row r="6" customFormat="false" ht="15" hidden="false" customHeight="false" outlineLevel="0" collapsed="false">
      <c r="A6" s="21" t="s">
        <v>35</v>
      </c>
      <c r="B6" s="30" t="s">
        <v>2323</v>
      </c>
      <c r="C6" s="21" t="s">
        <v>41</v>
      </c>
      <c r="D6" s="21"/>
    </row>
    <row r="7" customFormat="false" ht="15" hidden="false" customHeight="false" outlineLevel="0" collapsed="false">
      <c r="A7" s="21" t="s">
        <v>35</v>
      </c>
      <c r="B7" s="30" t="s">
        <v>2324</v>
      </c>
      <c r="C7" s="21" t="s">
        <v>42</v>
      </c>
      <c r="D7" s="21"/>
    </row>
    <row r="8" customFormat="false" ht="15" hidden="false" customHeight="false" outlineLevel="0" collapsed="false">
      <c r="A8" s="21" t="s">
        <v>35</v>
      </c>
      <c r="B8" s="30" t="s">
        <v>2325</v>
      </c>
      <c r="C8" s="21" t="s">
        <v>43</v>
      </c>
      <c r="D8" s="21"/>
    </row>
    <row r="9" customFormat="false" ht="15" hidden="false" customHeight="false" outlineLevel="0" collapsed="false">
      <c r="A9" s="21" t="s">
        <v>35</v>
      </c>
      <c r="B9" s="30" t="s">
        <v>2326</v>
      </c>
      <c r="C9" s="21" t="s">
        <v>44</v>
      </c>
      <c r="D9" s="21"/>
    </row>
    <row r="10" customFormat="false" ht="15" hidden="false" customHeight="false" outlineLevel="0" collapsed="false">
      <c r="A10" s="21" t="s">
        <v>35</v>
      </c>
      <c r="B10" s="30" t="s">
        <v>2327</v>
      </c>
      <c r="C10" s="21" t="s">
        <v>45</v>
      </c>
      <c r="D10" s="21" t="s">
        <v>2328</v>
      </c>
    </row>
    <row r="11" customFormat="false" ht="15" hidden="false" customHeight="false" outlineLevel="0" collapsed="false">
      <c r="A11" s="21" t="s">
        <v>35</v>
      </c>
      <c r="B11" s="30" t="s">
        <v>2329</v>
      </c>
      <c r="C11" s="21" t="s">
        <v>46</v>
      </c>
      <c r="D11" s="21"/>
    </row>
    <row r="12" customFormat="false" ht="15" hidden="false" customHeight="false" outlineLevel="0" collapsed="false">
      <c r="A12" s="21" t="s">
        <v>35</v>
      </c>
      <c r="B12" s="30" t="s">
        <v>2330</v>
      </c>
      <c r="C12" s="21" t="s">
        <v>47</v>
      </c>
      <c r="D12" s="21"/>
    </row>
    <row r="13" customFormat="false" ht="15" hidden="false" customHeight="false" outlineLevel="0" collapsed="false">
      <c r="A13" s="21" t="s">
        <v>35</v>
      </c>
      <c r="B13" s="30" t="s">
        <v>2331</v>
      </c>
      <c r="C13" s="21" t="s">
        <v>48</v>
      </c>
      <c r="D13" s="21"/>
    </row>
    <row r="14" customFormat="false" ht="15" hidden="false" customHeight="false" outlineLevel="0" collapsed="false">
      <c r="A14" s="21" t="s">
        <v>35</v>
      </c>
      <c r="B14" s="30" t="s">
        <v>2332</v>
      </c>
      <c r="C14" s="21" t="s">
        <v>49</v>
      </c>
      <c r="D14" s="21" t="s">
        <v>2333</v>
      </c>
    </row>
    <row r="15" customFormat="false" ht="15" hidden="false" customHeight="false" outlineLevel="0" collapsed="false">
      <c r="A15" s="21" t="s">
        <v>35</v>
      </c>
      <c r="B15" s="30" t="s">
        <v>2334</v>
      </c>
      <c r="C15" s="21" t="s">
        <v>50</v>
      </c>
      <c r="D15" s="21" t="s">
        <v>2328</v>
      </c>
    </row>
    <row r="16" customFormat="false" ht="15" hidden="false" customHeight="false" outlineLevel="0" collapsed="false">
      <c r="A16" s="15" t="s">
        <v>2335</v>
      </c>
      <c r="B16" s="10" t="s">
        <v>2336</v>
      </c>
      <c r="C16" s="15" t="s">
        <v>2337</v>
      </c>
      <c r="D16" s="15" t="s">
        <v>2338</v>
      </c>
    </row>
    <row r="17" customFormat="false" ht="15" hidden="false" customHeight="false" outlineLevel="0" collapsed="false">
      <c r="A17" s="15" t="s">
        <v>2335</v>
      </c>
      <c r="B17" s="10" t="s">
        <v>2339</v>
      </c>
      <c r="C17" s="15" t="s">
        <v>2340</v>
      </c>
      <c r="D17" s="15" t="s">
        <v>2341</v>
      </c>
    </row>
    <row r="18" customFormat="false" ht="15" hidden="false" customHeight="false" outlineLevel="0" collapsed="false">
      <c r="A18" s="15" t="s">
        <v>2335</v>
      </c>
      <c r="B18" s="10" t="s">
        <v>2342</v>
      </c>
      <c r="C18" s="15" t="s">
        <v>2343</v>
      </c>
      <c r="D18" s="15" t="s">
        <v>2344</v>
      </c>
    </row>
    <row r="19" customFormat="false" ht="15" hidden="false" customHeight="false" outlineLevel="0" collapsed="false">
      <c r="A19" s="15" t="s">
        <v>2345</v>
      </c>
      <c r="B19" s="10" t="s">
        <v>2346</v>
      </c>
      <c r="C19" s="15" t="s">
        <v>2347</v>
      </c>
      <c r="D19" s="15" t="s">
        <v>2348</v>
      </c>
    </row>
    <row r="20" customFormat="false" ht="15" hidden="false" customHeight="false" outlineLevel="0" collapsed="false">
      <c r="A20" s="15" t="s">
        <v>2345</v>
      </c>
      <c r="B20" s="10" t="s">
        <v>2349</v>
      </c>
      <c r="C20" s="15" t="s">
        <v>2350</v>
      </c>
      <c r="D20" s="15" t="s">
        <v>2351</v>
      </c>
    </row>
    <row r="21" customFormat="false" ht="15" hidden="false" customHeight="false" outlineLevel="0" collapsed="false">
      <c r="A21" s="15" t="s">
        <v>2345</v>
      </c>
      <c r="B21" s="10" t="s">
        <v>2352</v>
      </c>
      <c r="C21" s="15" t="s">
        <v>2353</v>
      </c>
      <c r="D21" s="15" t="s">
        <v>2354</v>
      </c>
    </row>
    <row r="22" customFormat="false" ht="15" hidden="false" customHeight="false" outlineLevel="0" collapsed="false">
      <c r="A22" s="15" t="s">
        <v>2345</v>
      </c>
      <c r="B22" s="10" t="s">
        <v>2355</v>
      </c>
      <c r="C22" s="15" t="s">
        <v>2356</v>
      </c>
      <c r="D22" s="15" t="s">
        <v>2357</v>
      </c>
    </row>
    <row r="23" customFormat="false" ht="15" hidden="false" customHeight="false" outlineLevel="0" collapsed="false">
      <c r="A23" s="15" t="s">
        <v>2358</v>
      </c>
      <c r="B23" s="10" t="s">
        <v>2359</v>
      </c>
      <c r="C23" s="15" t="s">
        <v>2360</v>
      </c>
      <c r="D23" s="15"/>
    </row>
    <row r="24" customFormat="false" ht="15" hidden="false" customHeight="false" outlineLevel="0" collapsed="false">
      <c r="A24" s="15" t="s">
        <v>2358</v>
      </c>
      <c r="B24" s="10" t="s">
        <v>2361</v>
      </c>
      <c r="C24" s="15" t="s">
        <v>2362</v>
      </c>
      <c r="D24" s="15"/>
    </row>
    <row r="25" customFormat="false" ht="15" hidden="false" customHeight="false" outlineLevel="0" collapsed="false">
      <c r="A25" s="15" t="s">
        <v>2358</v>
      </c>
      <c r="B25" s="10" t="s">
        <v>2363</v>
      </c>
      <c r="C25" s="15" t="s">
        <v>2364</v>
      </c>
      <c r="D25" s="15" t="s">
        <v>2365</v>
      </c>
    </row>
    <row r="26" customFormat="false" ht="15" hidden="false" customHeight="false" outlineLevel="0" collapsed="false">
      <c r="A26" s="15" t="s">
        <v>2358</v>
      </c>
      <c r="B26" s="10" t="s">
        <v>2366</v>
      </c>
      <c r="C26" s="15" t="s">
        <v>2367</v>
      </c>
      <c r="D26" s="15" t="s">
        <v>2368</v>
      </c>
    </row>
    <row r="27" customFormat="false" ht="15" hidden="false" customHeight="false" outlineLevel="0" collapsed="false">
      <c r="A27" s="15" t="s">
        <v>2358</v>
      </c>
      <c r="B27" s="10" t="s">
        <v>2369</v>
      </c>
      <c r="C27" s="15" t="s">
        <v>2370</v>
      </c>
      <c r="D27" s="15" t="s">
        <v>2371</v>
      </c>
    </row>
    <row r="28" customFormat="false" ht="15" hidden="false" customHeight="false" outlineLevel="0" collapsed="false">
      <c r="A28" s="15" t="s">
        <v>2358</v>
      </c>
      <c r="B28" s="10" t="s">
        <v>2372</v>
      </c>
      <c r="C28" s="15" t="s">
        <v>2373</v>
      </c>
      <c r="D28" s="15" t="s">
        <v>2374</v>
      </c>
    </row>
    <row r="29" customFormat="false" ht="15" hidden="false" customHeight="false" outlineLevel="0" collapsed="false">
      <c r="A29" s="15" t="s">
        <v>53</v>
      </c>
      <c r="B29" s="10" t="s">
        <v>2375</v>
      </c>
      <c r="C29" s="15" t="s">
        <v>56</v>
      </c>
      <c r="D29" s="15" t="s">
        <v>2376</v>
      </c>
    </row>
    <row r="30" customFormat="false" ht="15" hidden="false" customHeight="false" outlineLevel="0" collapsed="false">
      <c r="A30" s="15" t="s">
        <v>53</v>
      </c>
      <c r="B30" s="10" t="s">
        <v>2377</v>
      </c>
      <c r="C30" s="15" t="s">
        <v>58</v>
      </c>
      <c r="D30" s="15" t="s">
        <v>2378</v>
      </c>
    </row>
    <row r="31" customFormat="false" ht="15" hidden="false" customHeight="false" outlineLevel="0" collapsed="false">
      <c r="A31" s="15" t="s">
        <v>53</v>
      </c>
      <c r="B31" s="10" t="s">
        <v>2379</v>
      </c>
      <c r="C31" s="15" t="s">
        <v>60</v>
      </c>
      <c r="D31" s="15" t="s">
        <v>2380</v>
      </c>
    </row>
    <row r="32" customFormat="false" ht="15" hidden="false" customHeight="false" outlineLevel="0" collapsed="false">
      <c r="A32" s="15" t="s">
        <v>2381</v>
      </c>
      <c r="B32" s="10" t="s">
        <v>2382</v>
      </c>
      <c r="C32" s="15" t="s">
        <v>113</v>
      </c>
      <c r="D32" s="15" t="s">
        <v>2383</v>
      </c>
    </row>
    <row r="33" customFormat="false" ht="15" hidden="false" customHeight="false" outlineLevel="0" collapsed="false">
      <c r="A33" s="15" t="s">
        <v>2381</v>
      </c>
      <c r="B33" s="10" t="s">
        <v>2384</v>
      </c>
      <c r="C33" s="15" t="s">
        <v>150</v>
      </c>
      <c r="D33" s="15" t="s">
        <v>2385</v>
      </c>
    </row>
    <row r="34" customFormat="false" ht="15" hidden="false" customHeight="false" outlineLevel="0" collapsed="false">
      <c r="A34" s="15" t="s">
        <v>2381</v>
      </c>
      <c r="B34" s="10" t="s">
        <v>2386</v>
      </c>
      <c r="C34" s="15" t="s">
        <v>2387</v>
      </c>
      <c r="D34" s="15" t="s">
        <v>2388</v>
      </c>
    </row>
    <row r="35" customFormat="false" ht="15" hidden="false" customHeight="false" outlineLevel="0" collapsed="false">
      <c r="A35" s="15" t="s">
        <v>2381</v>
      </c>
      <c r="B35" s="10" t="s">
        <v>2389</v>
      </c>
      <c r="C35" s="15" t="s">
        <v>2390</v>
      </c>
      <c r="D35" s="15" t="s">
        <v>2391</v>
      </c>
    </row>
    <row r="36" customFormat="false" ht="15" hidden="false" customHeight="false" outlineLevel="0" collapsed="false">
      <c r="A36" s="15" t="s">
        <v>2381</v>
      </c>
      <c r="B36" s="10" t="s">
        <v>2392</v>
      </c>
      <c r="C36" s="15" t="s">
        <v>2393</v>
      </c>
      <c r="D36" s="15" t="s">
        <v>2394</v>
      </c>
    </row>
    <row r="37" customFormat="false" ht="15" hidden="false" customHeight="false" outlineLevel="0" collapsed="false">
      <c r="A37" s="15" t="s">
        <v>2381</v>
      </c>
      <c r="B37" s="10" t="s">
        <v>2395</v>
      </c>
      <c r="C37" s="15" t="s">
        <v>583</v>
      </c>
      <c r="D37" s="15" t="s">
        <v>2396</v>
      </c>
    </row>
    <row r="38" customFormat="false" ht="15" hidden="false" customHeight="false" outlineLevel="0" collapsed="false">
      <c r="A38" s="15" t="s">
        <v>2381</v>
      </c>
      <c r="B38" s="10" t="s">
        <v>2397</v>
      </c>
      <c r="C38" s="15" t="s">
        <v>2398</v>
      </c>
      <c r="D38" s="15" t="s">
        <v>2399</v>
      </c>
    </row>
    <row r="39" customFormat="false" ht="15" hidden="false" customHeight="false" outlineLevel="0" collapsed="false">
      <c r="A39" s="15" t="s">
        <v>2400</v>
      </c>
      <c r="B39" s="10" t="s">
        <v>2401</v>
      </c>
      <c r="C39" s="15" t="s">
        <v>2402</v>
      </c>
      <c r="D39" s="15"/>
    </row>
    <row r="40" customFormat="false" ht="15" hidden="false" customHeight="false" outlineLevel="0" collapsed="false">
      <c r="A40" s="15" t="s">
        <v>2400</v>
      </c>
      <c r="B40" s="10" t="s">
        <v>2403</v>
      </c>
      <c r="C40" s="15" t="s">
        <v>2404</v>
      </c>
      <c r="D40" s="15" t="s">
        <v>2405</v>
      </c>
    </row>
    <row r="41" customFormat="false" ht="15" hidden="false" customHeight="false" outlineLevel="0" collapsed="false">
      <c r="A41" s="15" t="s">
        <v>2400</v>
      </c>
      <c r="B41" s="10" t="s">
        <v>2406</v>
      </c>
      <c r="C41" s="15" t="s">
        <v>2407</v>
      </c>
      <c r="D41" s="15" t="s">
        <v>2408</v>
      </c>
    </row>
    <row r="42" customFormat="false" ht="15" hidden="false" customHeight="false" outlineLevel="0" collapsed="false">
      <c r="A42" s="15" t="s">
        <v>2400</v>
      </c>
      <c r="B42" s="10" t="s">
        <v>2409</v>
      </c>
      <c r="C42" s="15" t="s">
        <v>2410</v>
      </c>
      <c r="D42" s="15" t="s">
        <v>2411</v>
      </c>
    </row>
    <row r="43" customFormat="false" ht="15" hidden="false" customHeight="false" outlineLevel="0" collapsed="false">
      <c r="A43" s="15" t="s">
        <v>2412</v>
      </c>
      <c r="B43" s="10" t="s">
        <v>2413</v>
      </c>
      <c r="C43" s="15" t="s">
        <v>72</v>
      </c>
      <c r="D43" s="15" t="s">
        <v>2414</v>
      </c>
    </row>
    <row r="44" customFormat="false" ht="15" hidden="false" customHeight="false" outlineLevel="0" collapsed="false">
      <c r="A44" s="15" t="s">
        <v>2412</v>
      </c>
      <c r="B44" s="10" t="s">
        <v>2415</v>
      </c>
      <c r="C44" s="15" t="s">
        <v>73</v>
      </c>
      <c r="D44" s="15" t="s">
        <v>2416</v>
      </c>
    </row>
    <row r="45" customFormat="false" ht="15" hidden="false" customHeight="false" outlineLevel="0" collapsed="false">
      <c r="A45" s="15" t="s">
        <v>2412</v>
      </c>
      <c r="B45" s="10" t="s">
        <v>2417</v>
      </c>
      <c r="C45" s="15" t="s">
        <v>74</v>
      </c>
      <c r="D45" s="15" t="s">
        <v>2418</v>
      </c>
    </row>
    <row r="46" customFormat="false" ht="15" hidden="false" customHeight="false" outlineLevel="0" collapsed="false">
      <c r="A46" s="15" t="s">
        <v>2412</v>
      </c>
      <c r="B46" s="10" t="s">
        <v>2419</v>
      </c>
      <c r="C46" s="15" t="s">
        <v>75</v>
      </c>
      <c r="D46" s="15" t="s">
        <v>2420</v>
      </c>
    </row>
    <row r="47" customFormat="false" ht="15" hidden="false" customHeight="false" outlineLevel="0" collapsed="false">
      <c r="A47" s="15" t="s">
        <v>2412</v>
      </c>
      <c r="B47" s="10" t="s">
        <v>2421</v>
      </c>
      <c r="C47" s="15" t="s">
        <v>76</v>
      </c>
      <c r="D47" s="15" t="s">
        <v>2422</v>
      </c>
    </row>
    <row r="48" customFormat="false" ht="15" hidden="false" customHeight="false" outlineLevel="0" collapsed="false">
      <c r="A48" s="15" t="s">
        <v>2423</v>
      </c>
      <c r="B48" s="10" t="s">
        <v>2424</v>
      </c>
      <c r="C48" s="15" t="s">
        <v>2425</v>
      </c>
      <c r="D48" s="15" t="s">
        <v>2426</v>
      </c>
    </row>
    <row r="49" customFormat="false" ht="15" hidden="false" customHeight="false" outlineLevel="0" collapsed="false">
      <c r="A49" s="15" t="s">
        <v>2423</v>
      </c>
      <c r="B49" s="10" t="s">
        <v>2427</v>
      </c>
      <c r="C49" s="15" t="s">
        <v>2072</v>
      </c>
      <c r="D49" s="15" t="s">
        <v>2428</v>
      </c>
    </row>
    <row r="50" customFormat="false" ht="15" hidden="false" customHeight="false" outlineLevel="0" collapsed="false">
      <c r="A50" s="15" t="s">
        <v>2423</v>
      </c>
      <c r="B50" s="10" t="s">
        <v>2429</v>
      </c>
      <c r="C50" s="15" t="s">
        <v>2430</v>
      </c>
      <c r="D50" s="15" t="s">
        <v>2431</v>
      </c>
    </row>
    <row r="51" customFormat="false" ht="15" hidden="false" customHeight="false" outlineLevel="0" collapsed="false">
      <c r="A51" s="15" t="s">
        <v>2432</v>
      </c>
      <c r="B51" s="10" t="s">
        <v>2433</v>
      </c>
      <c r="C51" s="15" t="s">
        <v>2434</v>
      </c>
      <c r="D51" s="15" t="s">
        <v>2435</v>
      </c>
    </row>
    <row r="52" customFormat="false" ht="15" hidden="false" customHeight="false" outlineLevel="0" collapsed="false">
      <c r="A52" s="15" t="s">
        <v>2432</v>
      </c>
      <c r="B52" s="10" t="s">
        <v>2436</v>
      </c>
      <c r="C52" s="15" t="s">
        <v>2437</v>
      </c>
      <c r="D52" s="15"/>
    </row>
    <row r="53" customFormat="false" ht="15" hidden="false" customHeight="false" outlineLevel="0" collapsed="false">
      <c r="A53" s="15" t="s">
        <v>2432</v>
      </c>
      <c r="B53" s="10" t="s">
        <v>2438</v>
      </c>
      <c r="C53" s="15" t="s">
        <v>2439</v>
      </c>
      <c r="D53" s="15" t="s">
        <v>2440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2026-09-29T19:18:29Z</dcterms:created>
  <dc:creator>openpyxl</dc:creator>
  <dc:description/>
  <dc:language>en-US</dc:language>
  <cp:lastModifiedBy/>
  <dcterms:modified xsi:type="dcterms:W3CDTF">2026-09-29T19:18:29Z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