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Synthese" sheetId="2" state="visible" r:id="rId4"/>
    <sheet name="Equipements" sheetId="3" state="visible" r:id="rId5"/>
    <sheet name="Taches" sheetId="4" state="visible" r:id="rId6"/>
    <sheet name="Questionnaire" sheetId="5" state="visible" r:id="rId7"/>
    <sheet name="Questions de date" sheetId="6" state="visible" r:id="rId8"/>
    <sheet name="Plaques par marque" sheetId="7" state="visible" r:id="rId9"/>
    <sheet name="Obligations legales" sheetId="8" state="visible" r:id="rId10"/>
    <sheet name="Referentiel" sheetId="9" state="visible" r:id="rId11"/>
  </sheets>
  <definedNames>
    <definedName function="false" hidden="true" localSheetId="2" name="_xlnm._FilterDatabase" vbProcedure="false">Equipements!$A$5:$R$112</definedName>
    <definedName function="false" hidden="true" localSheetId="7" name="_xlnm._FilterDatabase" vbProcedure="false">'Obligations legales'!$A$5:$N$26</definedName>
    <definedName function="false" hidden="true" localSheetId="6" name="_xlnm._FilterDatabase" vbProcedure="false">'Plaques par marque'!$A$5:$J$22</definedName>
    <definedName function="false" hidden="true" localSheetId="4" name="_xlnm._FilterDatabase" vbProcedure="false">Questionnaire!$A$5:$M$87</definedName>
    <definedName function="false" hidden="true" localSheetId="5" name="_xlnm._FilterDatabase" vbProcedure="false">'Questions de date'!$A$5:$G$41</definedName>
    <definedName function="false" hidden="true" localSheetId="3" name="_xlnm._FilterDatabase" vbProcedure="false">Taches!$A$5:$O$159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<sst xmlns="http://schemas.openxmlformats.org/spreadsheetml/2006/main" count="5614" uniqueCount="2431">
  <si>
    <t xml:space="preserve">Referentiel d'entretien des equipements du logement - France</t>
  </si>
  <si>
    <t xml:space="preserve">Base de donnees source pour une application de suivi d'entretien (marche francais)</t>
  </si>
  <si>
    <t xml:space="preserve">Objet du document</t>
  </si>
  <si>
    <t xml:space="preserve">Recenser les equipements d'un logement francais qui demandent un entretien periodique, decrire le geste d'entretien associe, et distinguer ce qui releve d'une obligation legale de ce qui releve de la bonne pratique. Ce fichier est concu comme le jeu de donnees d'amorcage (seed) d'une application, pas comme un document de lecture.</t>
  </si>
  <si>
    <t xml:space="preserve">Onglet Synthese</t>
  </si>
  <si>
    <t xml:space="preserve">Compteurs automatiques par categorie, par palier d'abonnement et par type d'intervenant. Toutes les cellules sont des formules : elles se recalculent si vous ajoutez des lignes dans les onglets Equipements et Taches.</t>
  </si>
  <si>
    <t xml:space="preserve">Onglet Equipements</t>
  </si>
  <si>
    <t xml:space="preserve">107 equipements. Colonne B : la categorie affichee dans l'application (10 au total). Colonne C : le groupe technique, qui organise le referentiel. C'est le type d'equipement, pas la categorie, qui porte les taches et les obligations. Un equipement = une ligne = une entree du catalogue de l'application. La colonne Priorite MVP indique ce qu'il faut couvrir des la premiere version (1 = indispensable).</t>
  </si>
  <si>
    <t xml:space="preserve">Onglet Taches d'entretien</t>
  </si>
  <si>
    <t xml:space="preserve">154 taches rattachees aux equipements par l'identifiant. C'est le coeur du produit : chaque tache porte sa frequence, sa saison, sa duree, ses consommables, son mode operatoire et surtout la consequence si elle n'est pas faite.</t>
  </si>
  <si>
    <t xml:space="preserve">Ajout par photo</t>
  </si>
  <si>
    <t xml:space="preserve">Onglet Equipements, colonnes O a R : ce qu'il faut photographier (plaque, etiquette datee, cadran ou document), ou le trouver, quels champs lire et que faire si la plaque est inaccessible.</t>
  </si>
  <si>
    <t xml:space="preserve">Onglet Plaques par marque</t>
  </si>
  <si>
    <t xml:space="preserve">Couche adaptative : des que la marque est connue (saisie ou lue sur le logo), l'application affiche l'emplacement propre au fabricant et valide l'identifiant lu contre le format attendu. Colonne Statut : seules les lignes verifiees sont a pousser en production.</t>
  </si>
  <si>
    <t xml:space="preserve">Onglet Obligations legales</t>
  </si>
  <si>
    <t xml:space="preserve">21 obligations reglementaires avec le texte de reference, la frequence, le redevable, le justificatif a conserver et la sanction encourue. Colonnes J a N : les risques en cas de non-conformite, decomposes pour l'affichage (amende, assurance, responsabilite, danger, autre consequence). C'est l'argument commercial le plus solide sur le marche francais : la conformite prime sur la duree de vie dans l'esprit du client.</t>
  </si>
  <si>
    <t xml:space="preserve">Onglet Questionnaire</t>
  </si>
  <si>
    <t xml:space="preserve">Le questionnaire d'accueil, pose a la premiere utilisation et pour chaque nouveau lieu. Une ligne = une reponse possible, avec les types d'appareil qu'elle cree. Ensuite, les appareils s'ajoutent un par un (photo, facture, saisie). Les textes de cet onglet et les colonnes de risques sont rediges pour l'ecran, donc accentues.</t>
  </si>
  <si>
    <t xml:space="preserve">Onglet Referentiel</t>
  </si>
  <si>
    <t xml:space="preserve">Nomenclatures a reprendre telles quelles dans le modele de donnees : categories, types de frequence, paliers, statuts de tache, types de justificatif.</t>
  </si>
  <si>
    <t xml:space="preserve">Legende des couleurs</t>
  </si>
  <si>
    <t xml:space="preserve">Obligation legale</t>
  </si>
  <si>
    <t xml:space="preserve">Ligne ou cellule ambre : obligation reglementaire, a traiter en priorite dans le produit.</t>
  </si>
  <si>
    <t xml:space="preserve">Tache realisable soi-meme</t>
  </si>
  <si>
    <t xml:space="preserve">Vert : tache DIY, eligible au palier gratuit.</t>
  </si>
  <si>
    <t xml:space="preserve">Intervention professionnelle</t>
  </si>
  <si>
    <t xml:space="preserve">Bleu : necessite un professionnel, matiere du palier Care.</t>
  </si>
  <si>
    <t xml:space="preserve">Sources et limites</t>
  </si>
  <si>
    <t xml:space="preserve">- Reglementation verifiee en septembre 2026 aupres de service-public.fr, Legifrance, ecologie.gouv.fr et GRDF. Les URL figurent dans l'onglet Obligations legales. La reglementation evolue : prevoir une revue annuelle du referentiel.</t>
  </si>
  <si>
    <t xml:space="preserve">- Durees de vie : ordres de grandeur constructeurs et ADEME, pas des engagements. Elles servent a calibrer les alertes de fin de vie, pas a promettre une longevite.</t>
  </si>
  <si>
    <t xml:space="preserve">- Couts indicatifs : fourchettes de marche 2026 hors contrat, TTC, variables selon la region et la tension du secteur. A reverifier avant tout affichage de prix dans l'application.</t>
  </si>
  <si>
    <t xml:space="preserve">- Les frequences non reglementaires sont des recommandations d'usage courant. Elles doivent etre confrontees a la notice du fabricant pour chaque modele avant d'etre poussees en notification.</t>
  </si>
  <si>
    <t xml:space="preserve">- Ce document n'a pas valeur de conseil juridique. Faire valider le volet reglementaire par un juriste avant toute communication commerciale fondee sur la conformite.</t>
  </si>
  <si>
    <t xml:space="preserve">Synthese du referentiel</t>
  </si>
  <si>
    <t xml:space="preserve">Cellules calculees : elles se mettent a jour si vous ajoutez des lignes.</t>
  </si>
  <si>
    <t xml:space="preserve">Categorie</t>
  </si>
  <si>
    <t xml:space="preserve">Equipements</t>
  </si>
  <si>
    <t xml:space="preserve">dont obligation</t>
  </si>
  <si>
    <t xml:space="preserve">Taches</t>
  </si>
  <si>
    <t xml:space="preserve">dont DIY</t>
  </si>
  <si>
    <t xml:space="preserve">dont Pro</t>
  </si>
  <si>
    <t xml:space="preserve">Cuisine</t>
  </si>
  <si>
    <t xml:space="preserve">Buanderie</t>
  </si>
  <si>
    <t xml:space="preserve">Chauffage &amp; climatisation</t>
  </si>
  <si>
    <t xml:space="preserve">Petit electromenager</t>
  </si>
  <si>
    <t xml:space="preserve">Electronique</t>
  </si>
  <si>
    <t xml:space="preserve">Jardin &amp; piscine</t>
  </si>
  <si>
    <t xml:space="preserve">Maison &amp; securite</t>
  </si>
  <si>
    <t xml:space="preserve">Energie</t>
  </si>
  <si>
    <t xml:space="preserve">Vehicules</t>
  </si>
  <si>
    <t xml:space="preserve">Autre</t>
  </si>
  <si>
    <t xml:space="preserve">TOTAL</t>
  </si>
  <si>
    <t xml:space="preserve">Repartition par palier d'abonnement</t>
  </si>
  <si>
    <t xml:space="preserve">Palier</t>
  </si>
  <si>
    <t xml:space="preserve">Nb de taches</t>
  </si>
  <si>
    <t xml:space="preserve">% du total</t>
  </si>
  <si>
    <t xml:space="preserve">Gratuit</t>
  </si>
  <si>
    <t xml:space="preserve">Rappels + mode operatoire</t>
  </si>
  <si>
    <t xml:space="preserve">Plus</t>
  </si>
  <si>
    <t xml:space="preserve">Multi-biens, coffre-fort de documents</t>
  </si>
  <si>
    <t xml:space="preserve">Care</t>
  </si>
  <si>
    <t xml:space="preserve">Intervention a domicile</t>
  </si>
  <si>
    <t xml:space="preserve">Indicateurs cles</t>
  </si>
  <si>
    <t xml:space="preserve">Taches soumises a obligation legale</t>
  </si>
  <si>
    <t xml:space="preserve">Taches realisables par l'occupant</t>
  </si>
  <si>
    <t xml:space="preserve">Taches necessitant un professionnel</t>
  </si>
  <si>
    <t xml:space="preserve">Equipements a couvrir des le MVP (priorite 1)</t>
  </si>
  <si>
    <t xml:space="preserve">Temps DIY cumule sur un an (heures)</t>
  </si>
  <si>
    <t xml:space="preserve">Le temps DIY cumule suppose un logement equipe de la totalite du referentiel : c'est un majorant, utile pour dimensionner la charge percue, pas une moyenne de marche.</t>
  </si>
  <si>
    <t xml:space="preserve">Ajout par photo : que photographier ?</t>
  </si>
  <si>
    <t xml:space="preserve">Cible photo</t>
  </si>
  <si>
    <t xml:space="preserve">% du catalogue</t>
  </si>
  <si>
    <t xml:space="preserve">Plaque signaletique</t>
  </si>
  <si>
    <t xml:space="preserve">Etiquette datee</t>
  </si>
  <si>
    <t xml:space="preserve">Cadran</t>
  </si>
  <si>
    <t xml:space="preserve">Document</t>
  </si>
  <si>
    <t xml:space="preserve">Aucune</t>
  </si>
  <si>
    <t xml:space="preserve">Catalogue des equipements</t>
  </si>
  <si>
    <t xml:space="preserve">Un equipement = une entree du catalogue produit. La colonne Nb de taches est calculee.</t>
  </si>
  <si>
    <t xml:space="preserve">ID</t>
  </si>
  <si>
    <t xml:space="preserve">Groupe technique</t>
  </si>
  <si>
    <t xml:space="preserve">Equipement</t>
  </si>
  <si>
    <t xml:space="preserve">Duree de vie</t>
  </si>
  <si>
    <t xml:space="preserve">Reference reglementaire</t>
  </si>
  <si>
    <t xml:space="preserve">Frequence de reference</t>
  </si>
  <si>
    <t xml:space="preserve">Intervenant</t>
  </si>
  <si>
    <t xml:space="preserve">Justificatif a conserver</t>
  </si>
  <si>
    <t xml:space="preserve">Cout pro indicatif</t>
  </si>
  <si>
    <t xml:space="preserve">Enjeu si neglige</t>
  </si>
  <si>
    <t xml:space="preserve">Priorite MVP</t>
  </si>
  <si>
    <t xml:space="preserve">Ou trouver la plaque (generique)</t>
  </si>
  <si>
    <t xml:space="preserve">Champs a lire</t>
  </si>
  <si>
    <t xml:space="preserve">Astuce / alternative</t>
  </si>
  <si>
    <t xml:space="preserve">CH-01</t>
  </si>
  <si>
    <t xml:space="preserve">Chauffage</t>
  </si>
  <si>
    <t xml:space="preserve">Chaudiere gaz individuelle (4-400 kW)</t>
  </si>
  <si>
    <t xml:space="preserve">15-20 ans</t>
  </si>
  <si>
    <t xml:space="preserve">Oui</t>
  </si>
  <si>
    <t xml:space="preserve">Decret 2009-649 + arrete 15/09/2009 (C. env. R224-41-4 s.)</t>
  </si>
  <si>
    <t xml:space="preserve">Annuel</t>
  </si>
  <si>
    <t xml:space="preserve">Pro qualifie (PG)</t>
  </si>
  <si>
    <t xml:space="preserve">Attestation d'entretien (remise sous 15 j)</t>
  </si>
  <si>
    <t xml:space="preserve">100-180 EUR</t>
  </si>
  <si>
    <t xml:space="preserve">Intoxication au CO, refus de prise en charge assurance, surconsommation 10-15%</t>
  </si>
  <si>
    <t xml:space="preserve">Sous l'appareil ou derriere le capot avant ; parfois sur le flanc</t>
  </si>
  <si>
    <t xml:space="preserve">Marque, modele, n. de serie, puissance nominale (kW), type de gaz, annee</t>
  </si>
  <si>
    <t xml:space="preserve">Ne jamais deposer le capot d'un appareil gaz. Alternative : attestation d'entretien ou facture de l'installateur</t>
  </si>
  <si>
    <t xml:space="preserve">CH-02</t>
  </si>
  <si>
    <t xml:space="preserve">Chaudiere fioul</t>
  </si>
  <si>
    <t xml:space="preserve">20-25 ans</t>
  </si>
  <si>
    <t xml:space="preserve">Decret 2009-649 + arrete 15/09/2009</t>
  </si>
  <si>
    <t xml:space="preserve">Pro qualifie</t>
  </si>
  <si>
    <t xml:space="preserve">Attestation d'entretien</t>
  </si>
  <si>
    <t xml:space="preserve">130-220 EUR</t>
  </si>
  <si>
    <t xml:space="preserve">Encrassement du bruleur, pannes hivernales, refus assurance</t>
  </si>
  <si>
    <t xml:space="preserve">Flanc ou porte de facade de la chaudiere ; plaque distincte sur le bruleur</t>
  </si>
  <si>
    <t xml:space="preserve">Marque, modele, n. de serie, puissance (kW) ; modele du bruleur</t>
  </si>
  <si>
    <t xml:space="preserve">Deux plaques a photographier : chaudiere et bruleur</t>
  </si>
  <si>
    <t xml:space="preserve">CH-03</t>
  </si>
  <si>
    <t xml:space="preserve">Chaudiere bois / granules</t>
  </si>
  <si>
    <t xml:space="preserve">Decret 2009-649 ; decret 2023-641 (entretien + ramonage)</t>
  </si>
  <si>
    <t xml:space="preserve">Attestation d'entretien + certificat de ramonage</t>
  </si>
  <si>
    <t xml:space="preserve">150-280 EUR</t>
  </si>
  <si>
    <t xml:space="preserve">Feu de conduit, emissions de particules, perte de rendement</t>
  </si>
  <si>
    <t xml:space="preserve">Flanc ou arriere de l'appareil, parfois sous le capot du silo</t>
  </si>
  <si>
    <t xml:space="preserve">Marque, modele, n. de serie, puissance (kW), combustible</t>
  </si>
  <si>
    <t xml:space="preserve">Alternative : attestation d'entretien</t>
  </si>
  <si>
    <t xml:space="preserve">CH-04</t>
  </si>
  <si>
    <t xml:space="preserve">Poele a granules</t>
  </si>
  <si>
    <t xml:space="preserve">Decret 2023-641 (entretien 12 mois) + ramonage</t>
  </si>
  <si>
    <t xml:space="preserve">120-200 EUR</t>
  </si>
  <si>
    <t xml:space="preserve">Encrassement du creuset, arret en pleine saison, feu de conduit</t>
  </si>
  <si>
    <t xml:space="preserve">Au dos de l'appareil ; parfois sous le couvercle du reservoir a granules</t>
  </si>
  <si>
    <t xml:space="preserve">Marque, modele, n. de serie, puissance (kW), norme EN 14785</t>
  </si>
  <si>
    <t xml:space="preserve">Ne pas deplacer un poele raccorde : utiliser la notice ou la facture</t>
  </si>
  <si>
    <t xml:space="preserve">CH-05</t>
  </si>
  <si>
    <t xml:space="preserve">Poele a bois / insert / foyer ferme</t>
  </si>
  <si>
    <t xml:space="preserve">20-30 ans</t>
  </si>
  <si>
    <t xml:space="preserve">Decret 2023-641</t>
  </si>
  <si>
    <t xml:space="preserve">80-150 EUR</t>
  </si>
  <si>
    <t xml:space="preserve">Feu de cheminee, intoxication au CO</t>
  </si>
  <si>
    <t xml:space="preserve">Au dos ou sous l'appareil ; pour un insert, plaque souvent fixee dans l'habillage</t>
  </si>
  <si>
    <t xml:space="preserve">Marque, modele, puissance (kW), norme EN 13240 ou EN 13229</t>
  </si>
  <si>
    <t xml:space="preserve">Insert encastre : plaque souvent inaccessible, utiliser la notice ou la facture</t>
  </si>
  <si>
    <t xml:space="preserve">CH-06</t>
  </si>
  <si>
    <t xml:space="preserve">Cheminee a foyer ouvert</t>
  </si>
  <si>
    <t xml:space="preserve">30 ans et +</t>
  </si>
  <si>
    <t xml:space="preserve">Decret 2023-641 : exempte d'entretien, ramonage obligatoire</t>
  </si>
  <si>
    <t xml:space="preserve">Ramonage annuel min.</t>
  </si>
  <si>
    <t xml:space="preserve">Certificat de ramonage</t>
  </si>
  <si>
    <t xml:space="preserve">60-120 EUR</t>
  </si>
  <si>
    <t xml:space="preserve">Feu de conduit, propagation a la charpente</t>
  </si>
  <si>
    <t xml:space="preserve">Pas de plaque</t>
  </si>
  <si>
    <t xml:space="preserve">-</t>
  </si>
  <si>
    <t xml:space="preserve">Photographier le dernier certificat de ramonage</t>
  </si>
  <si>
    <t xml:space="preserve">CH-07</t>
  </si>
  <si>
    <t xml:space="preserve">Conduit de fumee</t>
  </si>
  <si>
    <t xml:space="preserve">30-50 ans</t>
  </si>
  <si>
    <t xml:space="preserve">Decret 2023-641 du 20/07/2023 (en vigueur 01/10/2023)</t>
  </si>
  <si>
    <t xml:space="preserve">1/an min. ; 2/an si &gt; 6 m3 de bois ou &gt; 2,5 t de granules par an</t>
  </si>
  <si>
    <t xml:space="preserve">Pro qualifie (ramonage mecanique)</t>
  </si>
  <si>
    <t xml:space="preserve">Certificat de ramonage (conserver 5 ans)</t>
  </si>
  <si>
    <t xml:space="preserve">Amende 3e classe jusqu'a 450 EUR, refus assurance apres sinistre</t>
  </si>
  <si>
    <t xml:space="preserve">Conduits recents : plaque du conduit pres du raccordement ou dans les combles</t>
  </si>
  <si>
    <t xml:space="preserve">Classe du conduit (temperature, resistance au feu), diametre</t>
  </si>
  <si>
    <t xml:space="preserve">A defaut : certificat de ramonage</t>
  </si>
  <si>
    <t xml:space="preserve">CH-08</t>
  </si>
  <si>
    <t xml:space="preserve">Pompe a chaleur air/eau (4-70 kW)</t>
  </si>
  <si>
    <t xml:space="preserve">Decret 2020-912 + arrete 24/07/2020</t>
  </si>
  <si>
    <t xml:space="preserve">Tous les 2 ans</t>
  </si>
  <si>
    <t xml:space="preserve">150-250 EUR</t>
  </si>
  <si>
    <t xml:space="preserve">Perte de COP, fuite de fluide frigorigene, casse compresseur</t>
  </si>
  <si>
    <t xml:space="preserve">Unite exterieure : flanc ou dos. Module interieur : sous le capot avant ou sur le cote</t>
  </si>
  <si>
    <t xml:space="preserve">Modele, n. de serie, puissance (kW), type de fluide (R32, R410A...), charge en kg et en t eq. CO2, mention hermetiquement scelle</t>
  </si>
  <si>
    <t xml:space="preserve">Fluide + charge + mention scelle determinent le controle d'etancheite : c'est ici que la photo calcule le statut legal</t>
  </si>
  <si>
    <t xml:space="preserve">CH-09</t>
  </si>
  <si>
    <t xml:space="preserve">Pompe a chaleur air/air reversible</t>
  </si>
  <si>
    <t xml:space="preserve">12-15 ans</t>
  </si>
  <si>
    <t xml:space="preserve">Oui si &gt;= 4 kW</t>
  </si>
  <si>
    <t xml:space="preserve">Decret 2020-912 (des 4 kW)</t>
  </si>
  <si>
    <t xml:space="preserve">Qualite d'air degradee, surconsommation, fuite de fluide</t>
  </si>
  <si>
    <t xml:space="preserve">Unite exterieure : flanc ou dos. Unite interieure : sous le capot frontal ou sur le cote</t>
  </si>
  <si>
    <t xml:space="preserve">CH-10</t>
  </si>
  <si>
    <t xml:space="preserve">PAC geothermique</t>
  </si>
  <si>
    <t xml:space="preserve">Decret 2020-912</t>
  </si>
  <si>
    <t xml:space="preserve">200-350 EUR</t>
  </si>
  <si>
    <t xml:space="preserve">Deperdition du champ de captage, casse compresseur</t>
  </si>
  <si>
    <t xml:space="preserve">Flanc ou derriere le capot avant du module interieur</t>
  </si>
  <si>
    <t xml:space="preserve">CH-11</t>
  </si>
  <si>
    <t xml:space="preserve">Radiateurs a eau chaude</t>
  </si>
  <si>
    <t xml:space="preserve">25-40 ans</t>
  </si>
  <si>
    <t xml:space="preserve">Non</t>
  </si>
  <si>
    <t xml:space="preserve">Purge annuelle recommandee</t>
  </si>
  <si>
    <t xml:space="preserve">Particulier</t>
  </si>
  <si>
    <t xml:space="preserve">0 EUR</t>
  </si>
  <si>
    <t xml:space="preserve">Radiateurs froids en haut, surconsommation, bruits de circuit</t>
  </si>
  <si>
    <t xml:space="preserve">Pas de plaque exploitable</t>
  </si>
  <si>
    <t xml:space="preserve">Pas d'identification necessaire</t>
  </si>
  <si>
    <t xml:space="preserve">CH-12</t>
  </si>
  <si>
    <t xml:space="preserve">Circuit de chauffage (desembouage)</t>
  </si>
  <si>
    <t xml:space="preserve">Tous les 8-10 ans recommande</t>
  </si>
  <si>
    <t xml:space="preserve">Pro</t>
  </si>
  <si>
    <t xml:space="preserve">Facture / rapport</t>
  </si>
  <si>
    <t xml:space="preserve">600-1200 EUR</t>
  </si>
  <si>
    <t xml:space="preserve">Boues = perte de rendement jusqu'a 15%, casse du circulateur</t>
  </si>
  <si>
    <t xml:space="preserve">Photographier la facture du dernier desembouage</t>
  </si>
  <si>
    <t xml:space="preserve">CH-13</t>
  </si>
  <si>
    <t xml:space="preserve">Plancher chauffant hydraulique</t>
  </si>
  <si>
    <t xml:space="preserve">40-50 ans</t>
  </si>
  <si>
    <t xml:space="preserve">Controle collecteur annuel ; desembouage 10 ans</t>
  </si>
  <si>
    <t xml:space="preserve">Particulier + Pro</t>
  </si>
  <si>
    <t xml:space="preserve">Zones froides, colmatage des boucles</t>
  </si>
  <si>
    <t xml:space="preserve">Etiquette sur le collecteur (pas systematique)</t>
  </si>
  <si>
    <t xml:space="preserve">Fabricant du collecteur, nombre de boucles</t>
  </si>
  <si>
    <t xml:space="preserve">Plan de pose si disponible</t>
  </si>
  <si>
    <t xml:space="preserve">CH-14</t>
  </si>
  <si>
    <t xml:space="preserve">Radiateur electrique / convecteur</t>
  </si>
  <si>
    <t xml:space="preserve">Depoussierage annuel</t>
  </si>
  <si>
    <t xml:space="preserve">Surconsommation, odeurs de brule, risque incendie sur poussiere</t>
  </si>
  <si>
    <t xml:space="preserve">Au dos ou sur le flanc de l'appareil</t>
  </si>
  <si>
    <t xml:space="preserve">Marque, modele, puissance (W)</t>
  </si>
  <si>
    <t xml:space="preserve">CH-15</t>
  </si>
  <si>
    <t xml:space="preserve">Cuve a fioul</t>
  </si>
  <si>
    <t xml:space="preserve">25-30 ans</t>
  </si>
  <si>
    <t xml:space="preserve">Selon cas</t>
  </si>
  <si>
    <t xml:space="preserve">Arrete du 01/07/2004 (stockage produits petroliers)</t>
  </si>
  <si>
    <t xml:space="preserve">Controle d'etancheite et nettoyage tous les 5-10 ans</t>
  </si>
  <si>
    <t xml:space="preserve">Rapport de controle</t>
  </si>
  <si>
    <t xml:space="preserve">300-600 EUR</t>
  </si>
  <si>
    <t xml:space="preserve">Pollution des sols, depollution a la charge du proprietaire</t>
  </si>
  <si>
    <t xml:space="preserve">Sur le trou d'homme ou le flanc de la cuve</t>
  </si>
  <si>
    <t xml:space="preserve">Fabricant, capacite (L), annee, simple ou double paroi</t>
  </si>
  <si>
    <t xml:space="preserve">CH-16</t>
  </si>
  <si>
    <t xml:space="preserve">Citerne GPL / propane</t>
  </si>
  <si>
    <t xml:space="preserve">Oui (via contrat)</t>
  </si>
  <si>
    <t xml:space="preserve">Arrete du 30/07/1979 modifie</t>
  </si>
  <si>
    <t xml:space="preserve">Controle periodique par le distributeur (voir contrat)</t>
  </si>
  <si>
    <t xml:space="preserve">Distributeur agree</t>
  </si>
  <si>
    <t xml:space="preserve">Rapport du distributeur</t>
  </si>
  <si>
    <t xml:space="preserve">Inclus au contrat</t>
  </si>
  <si>
    <t xml:space="preserve">Risque d'explosion, resiliation du contrat de fourniture</t>
  </si>
  <si>
    <t xml:space="preserve">Sur la citerne, pres du capot</t>
  </si>
  <si>
    <t xml:space="preserve">N. de citerne, capacite, distributeur, date d'epreuve</t>
  </si>
  <si>
    <t xml:space="preserve">Contrat du distributeur</t>
  </si>
  <si>
    <t xml:space="preserve">CH-17</t>
  </si>
  <si>
    <t xml:space="preserve">Thermostat / regulation connectee</t>
  </si>
  <si>
    <t xml:space="preserve">10-15 ans</t>
  </si>
  <si>
    <t xml:space="preserve">Piles annuelles, mise a jour firmware</t>
  </si>
  <si>
    <t xml:space="preserve">Derive de temperature, surconsommation</t>
  </si>
  <si>
    <t xml:space="preserve">Au dos, en le declipsant de son socle</t>
  </si>
  <si>
    <t xml:space="preserve">Marque, modele, reference</t>
  </si>
  <si>
    <t xml:space="preserve">Application connectee si disponible</t>
  </si>
  <si>
    <t xml:space="preserve">ECS-01</t>
  </si>
  <si>
    <t xml:space="preserve">Eau chaude</t>
  </si>
  <si>
    <t xml:space="preserve">Chauffe-eau electrique (cumulus)</t>
  </si>
  <si>
    <t xml:space="preserve">Groupe de securite mensuel ; detartrage + anode tous les 2 ans</t>
  </si>
  <si>
    <t xml:space="preserve">Facture de detartrage</t>
  </si>
  <si>
    <t xml:space="preserve">Tartre = +30% de conso ; anode usee = percement de la cuve</t>
  </si>
  <si>
    <t xml:space="preserve">Sur l'enveloppe du ballon, souvent pres du capot electrique en partie basse</t>
  </si>
  <si>
    <t xml:space="preserve">Marque, modele, capacite (L), puissance (W), n. de serie, date de fabrication</t>
  </si>
  <si>
    <t xml:space="preserve">ECS-02</t>
  </si>
  <si>
    <t xml:space="preserve">Chauffe-eau thermodynamique</t>
  </si>
  <si>
    <t xml:space="preserve">Encrassement de l'evaporateur, bascule permanente sur resistance</t>
  </si>
  <si>
    <t xml:space="preserve">Flanc ou arriere de l'appareil</t>
  </si>
  <si>
    <t xml:space="preserve">ECS-03</t>
  </si>
  <si>
    <t xml:space="preserve">Chauffe-eau gaz / chauffe-bain</t>
  </si>
  <si>
    <t xml:space="preserve">Decret 2009-649</t>
  </si>
  <si>
    <t xml:space="preserve">100-160 EUR</t>
  </si>
  <si>
    <t xml:space="preserve">Intoxication au CO</t>
  </si>
  <si>
    <t xml:space="preserve">Sous l'appareil ou derriere le capot avant</t>
  </si>
  <si>
    <t xml:space="preserve">Marque, modele, n. de serie, puissance (kW), type de gaz</t>
  </si>
  <si>
    <t xml:space="preserve">ECS-04</t>
  </si>
  <si>
    <t xml:space="preserve">Chauffe-eau solaire (CESI)</t>
  </si>
  <si>
    <t xml:space="preserve">Controle annuel (glycol, pression, sonde)</t>
  </si>
  <si>
    <t xml:space="preserve">Rapport d'intervention</t>
  </si>
  <si>
    <t xml:space="preserve">Glycol degrade = corrosion du capteur, surchauffe estivale</t>
  </si>
  <si>
    <t xml:space="preserve">Ballon : sur l'enveloppe. Capteurs : etiquette au dos, inaccessible une fois poses</t>
  </si>
  <si>
    <t xml:space="preserve">Fabricant, capacite du ballon, surface de capteurs</t>
  </si>
  <si>
    <t xml:space="preserve">Dossier d'installation</t>
  </si>
  <si>
    <t xml:space="preserve">ECS-05</t>
  </si>
  <si>
    <t xml:space="preserve">Groupe de securite</t>
  </si>
  <si>
    <t xml:space="preserve">5-7 ans</t>
  </si>
  <si>
    <t xml:space="preserve">Manoeuvre mensuelle ; remplacement 5 ans</t>
  </si>
  <si>
    <t xml:space="preserve">80-150 EUR pose</t>
  </si>
  <si>
    <t xml:space="preserve">Blocage = surpression et eclatement du ballon</t>
  </si>
  <si>
    <t xml:space="preserve">Marquage grave sur le corps</t>
  </si>
  <si>
    <t xml:space="preserve">Marque, pression de tarage</t>
  </si>
  <si>
    <t xml:space="preserve">Suffisant pour commander le remplacement</t>
  </si>
  <si>
    <t xml:space="preserve">ECS-06</t>
  </si>
  <si>
    <t xml:space="preserve">Adoucisseur d'eau</t>
  </si>
  <si>
    <t xml:space="preserve">Sel mensuel ; desinfection annuelle ; controle pro tous les 2 ans</t>
  </si>
  <si>
    <t xml:space="preserve">Bac a sel colmate, eau non adoucie, proliferation bacterienne</t>
  </si>
  <si>
    <t xml:space="preserve">Au dos de la tete de commande ou sur le bac</t>
  </si>
  <si>
    <t xml:space="preserve">Marque, modele, volume de resine, n. de serie</t>
  </si>
  <si>
    <t xml:space="preserve">CLIM-01</t>
  </si>
  <si>
    <t xml:space="preserve">Climatisation</t>
  </si>
  <si>
    <t xml:space="preserve">Climatiseur split / multisplit</t>
  </si>
  <si>
    <t xml:space="preserve">Pro avec attestation de capacite fluides</t>
  </si>
  <si>
    <t xml:space="preserve">Developpement bacterien, perte de froid, fuite de fluide (fort PRG)</t>
  </si>
  <si>
    <t xml:space="preserve">CLIM-02</t>
  </si>
  <si>
    <t xml:space="preserve">Climatiseur mobile</t>
  </si>
  <si>
    <t xml:space="preserve">8-10 ans</t>
  </si>
  <si>
    <t xml:space="preserve">Nettoyage des filtres mensuel en saison</t>
  </si>
  <si>
    <t xml:space="preserve">Debit d'air reduit, odeurs, surconsommation</t>
  </si>
  <si>
    <t xml:space="preserve">Au dos de l'appareil</t>
  </si>
  <si>
    <t xml:space="preserve">Marque, modele, puissance, type de fluide</t>
  </si>
  <si>
    <t xml:space="preserve">CLIM-03</t>
  </si>
  <si>
    <t xml:space="preserve">Circuit frigorifique &gt;= 5 t CO2 eq</t>
  </si>
  <si>
    <t xml:space="preserve">Reglement (UE) 2024/573 (F-Gas), applicable depuis le 11/03/2024</t>
  </si>
  <si>
    <t xml:space="preserve">Controle d'etancheite tous les 12 mois (5 a 50 t CO2 eq)</t>
  </si>
  <si>
    <t xml:space="preserve">Operateur certifie (attestation de capacite)</t>
  </si>
  <si>
    <t xml:space="preserve">Fiche d'intervention CERFA 15497</t>
  </si>
  <si>
    <t xml:space="preserve">150-300 EUR</t>
  </si>
  <si>
    <t xml:space="preserve">Sanction administrative, impact climatique majeur</t>
  </si>
  <si>
    <t xml:space="preserve">Etiquette fluide sur l'unite exterieure (etiquetage impose par la reglementation F-Gas)</t>
  </si>
  <si>
    <t xml:space="preserve">Type de fluide, charge en kg et en t eq. CO2, mention hermetiquement scelle</t>
  </si>
  <si>
    <t xml:space="preserve">VENT-01</t>
  </si>
  <si>
    <t xml:space="preserve">Ventilation</t>
  </si>
  <si>
    <t xml:space="preserve">VMC simple flux</t>
  </si>
  <si>
    <t xml:space="preserve">Non (individuel)</t>
  </si>
  <si>
    <t xml:space="preserve">Bouches tous les 6 mois ; caisson annuel</t>
  </si>
  <si>
    <t xml:space="preserve">0-120 EUR</t>
  </si>
  <si>
    <t xml:space="preserve">Condensation, moisissures, degradation du bati</t>
  </si>
  <si>
    <t xml:space="preserve">Sur le caisson moteur, generalement dans les combles</t>
  </si>
  <si>
    <t xml:space="preserve">Marque, modele, type (autoreglable ou hygroreglable)</t>
  </si>
  <si>
    <t xml:space="preserve">Le type conditionne les bouches de remplacement</t>
  </si>
  <si>
    <t xml:space="preserve">VENT-02</t>
  </si>
  <si>
    <t xml:space="preserve">VMC double flux</t>
  </si>
  <si>
    <t xml:space="preserve">Filtres tous les 3-6 mois ; echangeur annuel</t>
  </si>
  <si>
    <t xml:space="preserve">40-80 EUR de filtres/an</t>
  </si>
  <si>
    <t xml:space="preserve">Filtres satures = debit nul, perte du rendement de recuperation</t>
  </si>
  <si>
    <t xml:space="preserve">Sur la centrale, souvent pres de la trappe d'acces aux filtres</t>
  </si>
  <si>
    <t xml:space="preserve">Marque, modele, references des filtres</t>
  </si>
  <si>
    <t xml:space="preserve">Photographier aussi l'etiquette du filtre en place</t>
  </si>
  <si>
    <t xml:space="preserve">VENT-03</t>
  </si>
  <si>
    <t xml:space="preserve">Hotte aspirante</t>
  </si>
  <si>
    <t xml:space="preserve">Filtre a graisse mensuel ; filtre charbon tous les 6 mois</t>
  </si>
  <si>
    <t xml:space="preserve">20-40 EUR</t>
  </si>
  <si>
    <t xml:space="preserve">Risque d'incendie par accumulation de graisse, aspiration nulle</t>
  </si>
  <si>
    <t xml:space="preserve">A l'interieur de la hotte, derriere les filtres a graisse</t>
  </si>
  <si>
    <t xml:space="preserve">Marque, modele, n. de serie, references des filtres</t>
  </si>
  <si>
    <t xml:space="preserve">VENT-04</t>
  </si>
  <si>
    <t xml:space="preserve">Grilles et entrees d'air</t>
  </si>
  <si>
    <t xml:space="preserve">30 ans</t>
  </si>
  <si>
    <t xml:space="preserve">Nettoyage semestriel</t>
  </si>
  <si>
    <t xml:space="preserve">Deficit d'air neuf, mauvais tirage des appareils a combustion</t>
  </si>
  <si>
    <t xml:space="preserve">VENT-05</t>
  </si>
  <si>
    <t xml:space="preserve">Puits canadien / provencal</t>
  </si>
  <si>
    <t xml:space="preserve">Controle annuel du siphon et du filtre</t>
  </si>
  <si>
    <t xml:space="preserve">100-200 EUR</t>
  </si>
  <si>
    <t xml:space="preserve">Stagnation d'eau, qualite d'air degradee</t>
  </si>
  <si>
    <t xml:space="preserve">Pas de plaque standard</t>
  </si>
  <si>
    <t xml:space="preserve">FROID-01</t>
  </si>
  <si>
    <t xml:space="preserve">Froid</t>
  </si>
  <si>
    <t xml:space="preserve">Refrigerateur</t>
  </si>
  <si>
    <t xml:space="preserve">Grille/condenseur tous les 6 mois ; joints ; degivrage</t>
  </si>
  <si>
    <t xml:space="preserve">Condenseur empoussiere = +25% de conso, compresseur en surchauffe</t>
  </si>
  <si>
    <t xml:space="preserve">Paroi interieure du compartiment refrigerateur, sur le cote ou derriere le bac a legumes</t>
  </si>
  <si>
    <t xml:space="preserve">Marque, modele, n. de serie, classe energetique, fluide</t>
  </si>
  <si>
    <t xml:space="preserve">Une etiquette exterieure peut porter un numero de controle usine et non le n. de serie</t>
  </si>
  <si>
    <t xml:space="preserve">FROID-02</t>
  </si>
  <si>
    <t xml:space="preserve">Congelateur</t>
  </si>
  <si>
    <t xml:space="preserve">12-18 ans</t>
  </si>
  <si>
    <t xml:space="preserve">Degivrage annuel ; joints</t>
  </si>
  <si>
    <t xml:space="preserve">3 mm de givre = +30% de conso</t>
  </si>
  <si>
    <t xml:space="preserve">Paroi interieure ; coffre : au dos ou sous le couvercle</t>
  </si>
  <si>
    <t xml:space="preserve">Marque, modele, n. de serie, classe energetique</t>
  </si>
  <si>
    <t xml:space="preserve">FROID-03</t>
  </si>
  <si>
    <t xml:space="preserve">Refrigerateur americain (distributeur eau/glace)</t>
  </si>
  <si>
    <t xml:space="preserve">10-12 ans</t>
  </si>
  <si>
    <t xml:space="preserve">Filtre a eau tous les 6 mois</t>
  </si>
  <si>
    <t xml:space="preserve">30-60 EUR le filtre</t>
  </si>
  <si>
    <t xml:space="preserve">Gout desagreable, contamination bacterienne du circuit</t>
  </si>
  <si>
    <t xml:space="preserve">Paroi interieure du compartiment refrigerateur, en haut ou sur le cote</t>
  </si>
  <si>
    <t xml:space="preserve">Marque, modele, n. de serie, reference du filtre a eau</t>
  </si>
  <si>
    <t xml:space="preserve">FROID-04</t>
  </si>
  <si>
    <t xml:space="preserve">Cave a vin</t>
  </si>
  <si>
    <t xml:space="preserve">Filtre a charbon annuel ; nettoyage du bac</t>
  </si>
  <si>
    <t xml:space="preserve">15-30 EUR</t>
  </si>
  <si>
    <t xml:space="preserve">Hygrometrie instable, bouchons desseches</t>
  </si>
  <si>
    <t xml:space="preserve">Paroi interieure, en partie basse</t>
  </si>
  <si>
    <t xml:space="preserve">Marque, modele, n. de serie</t>
  </si>
  <si>
    <t xml:space="preserve">LAV-01</t>
  </si>
  <si>
    <t xml:space="preserve">Lavage</t>
  </si>
  <si>
    <t xml:space="preserve">Lave-linge</t>
  </si>
  <si>
    <t xml:space="preserve">Filtre de vidange trimestriel ; joint mensuel ; detartrage semestriel ; tuyau tous les 5 ans</t>
  </si>
  <si>
    <t xml:space="preserve">0-30 EUR</t>
  </si>
  <si>
    <t xml:space="preserve">Degat des eaux (1re cause de sinistre domestique), moisissures, panne de pompe</t>
  </si>
  <si>
    <t xml:space="preserve">Frontal : cadre du hublot, visible porte ouverte (souvent en haut) ; sinon trappe du filtre ou dos. Top : sous le couvercle ou au dos</t>
  </si>
  <si>
    <t xml:space="preserve">Marque, modele, n. de serie, code service ou PNC selon la marque, date de fabrication</t>
  </si>
  <si>
    <t xml:space="preserve">Emplacement et identifiant adaptes a la marque : voir onglet Plaques par marque</t>
  </si>
  <si>
    <t xml:space="preserve">LAV-02</t>
  </si>
  <si>
    <t xml:space="preserve">Seche-linge (condensation ou PAC)</t>
  </si>
  <si>
    <t xml:space="preserve">Filtre a chaque cycle ; condenseur mensuel ; filtre PAC trimestriel</t>
  </si>
  <si>
    <t xml:space="preserve">Risque d'incendie par peluches, temps de sechage double</t>
  </si>
  <si>
    <t xml:space="preserve">Cadre de la porte, visible porte ouverte</t>
  </si>
  <si>
    <t xml:space="preserve">Marque, modele, n. de serie, type (condensation ou PAC), fluide si PAC</t>
  </si>
  <si>
    <t xml:space="preserve">LAV-03</t>
  </si>
  <si>
    <t xml:space="preserve">Lave-vaisselle</t>
  </si>
  <si>
    <t xml:space="preserve">Filtre mensuel ; bras de lavage trimestriel ; sel et liquide de rincage ; detartrage semestriel</t>
  </si>
  <si>
    <t xml:space="preserve">0-20 EUR</t>
  </si>
  <si>
    <t xml:space="preserve">Mauvaises odeurs, vaisselle mal lavee, pompe bloquee</t>
  </si>
  <si>
    <t xml:space="preserve">Chant de la porte (cote ou dessus), visible porte ouverte</t>
  </si>
  <si>
    <t xml:space="preserve">Marque, modele, n. de serie, code service selon la marque</t>
  </si>
  <si>
    <t xml:space="preserve">LAV-04</t>
  </si>
  <si>
    <t xml:space="preserve">Lave-linge sechant</t>
  </si>
  <si>
    <t xml:space="preserve">Cumul des entretiens lave-linge et seche-linge</t>
  </si>
  <si>
    <t xml:space="preserve">Usure acceleree, condenseur colmate</t>
  </si>
  <si>
    <t xml:space="preserve">Cadre du hublot, visible porte ouverte</t>
  </si>
  <si>
    <t xml:space="preserve">CUIS-01</t>
  </si>
  <si>
    <t xml:space="preserve">Cuisson</t>
  </si>
  <si>
    <t xml:space="preserve">Four (pyrolyse / catalyse)</t>
  </si>
  <si>
    <t xml:space="preserve">Pyrolyse trimestrielle ; joint de porte controle annuel</t>
  </si>
  <si>
    <t xml:space="preserve">Joint use = perte de chaleur, cuissons irregulieres</t>
  </si>
  <si>
    <t xml:space="preserve">Cadre du four, visible porte ouverte ; sinon derriere le tiroir inferieur</t>
  </si>
  <si>
    <t xml:space="preserve">Marque, modele, n. de serie, puissance</t>
  </si>
  <si>
    <t xml:space="preserve">CUIS-02</t>
  </si>
  <si>
    <t xml:space="preserve">Plaque a induction</t>
  </si>
  <si>
    <t xml:space="preserve">Nettoyage apres usage ; grille de ventilation tous les 6 mois</t>
  </si>
  <si>
    <t xml:space="preserve">Surchauffe de l'electronique, coupures en cours de cuisson</t>
  </si>
  <si>
    <t xml:space="preserve">Sous la table, inaccessible une fois encastree</t>
  </si>
  <si>
    <t xml:space="preserve">Chercher la 2e etiquette fournie avec la notice, ou photographier la facture</t>
  </si>
  <si>
    <t xml:space="preserve">CUIS-03</t>
  </si>
  <si>
    <t xml:space="preserve">Plaque / cuisiniere gaz</t>
  </si>
  <si>
    <t xml:space="preserve">Nettoyage des injecteurs annuel ; controle du flexible</t>
  </si>
  <si>
    <t xml:space="preserve">Flamme jaune = mauvaise combustion et CO</t>
  </si>
  <si>
    <t xml:space="preserve">Sous la table</t>
  </si>
  <si>
    <t xml:space="preserve">Marque, modele, type de gaz</t>
  </si>
  <si>
    <t xml:space="preserve">Notice ou facture</t>
  </si>
  <si>
    <t xml:space="preserve">CUIS-04</t>
  </si>
  <si>
    <t xml:space="preserve">Tuyau flexible gaz</t>
  </si>
  <si>
    <t xml:space="preserve">5-10 ans (date imprimee)</t>
  </si>
  <si>
    <t xml:space="preserve">Oui (implicite)</t>
  </si>
  <si>
    <t xml:space="preserve">Arrete du 02/08/1977 modifie ; NF D 36-100 / 36-103</t>
  </si>
  <si>
    <t xml:space="preserve">Remplacement imperatif a la date de peremption imprimee</t>
  </si>
  <si>
    <t xml:space="preserve">Date visible sur le flexible</t>
  </si>
  <si>
    <t xml:space="preserve">15-40 EUR</t>
  </si>
  <si>
    <t xml:space="preserve">Fuite de gaz, explosion, non-couverture assurance</t>
  </si>
  <si>
    <t xml:space="preserve">Marquage imprime sur la bague ou le tuyau</t>
  </si>
  <si>
    <t xml:space="preserve">Date limite d'utilisation, norme NF D 36-100 / 36-103</t>
  </si>
  <si>
    <t xml:space="preserve">La photo lit la date de peremption : rappel cree automatiquement</t>
  </si>
  <si>
    <t xml:space="preserve">CUIS-05</t>
  </si>
  <si>
    <t xml:space="preserve">Four a micro-ondes</t>
  </si>
  <si>
    <t xml:space="preserve">Nettoyage hebdomadaire ; controle du joint de porte annuel</t>
  </si>
  <si>
    <t xml:space="preserve">Fuite de micro-ondes si le joint est abime</t>
  </si>
  <si>
    <t xml:space="preserve">Cadre de la porte ou au dos</t>
  </si>
  <si>
    <t xml:space="preserve">CUIS-06</t>
  </si>
  <si>
    <t xml:space="preserve">Machine a cafe / expresso</t>
  </si>
  <si>
    <t xml:space="preserve">5-10 ans</t>
  </si>
  <si>
    <t xml:space="preserve">Detartrage tous les 1-3 mois selon durete de l'eau</t>
  </si>
  <si>
    <t xml:space="preserve">10-20 EUR</t>
  </si>
  <si>
    <t xml:space="preserve">Entartrage = panne de pompe, cause n.1 de mise au rebut</t>
  </si>
  <si>
    <t xml:space="preserve">Sous l'appareil ou derriere le reservoir d'eau</t>
  </si>
  <si>
    <t xml:space="preserve">PEM-01</t>
  </si>
  <si>
    <t xml:space="preserve">Aspirateur traineau / balai</t>
  </si>
  <si>
    <t xml:space="preserve">6-10 ans</t>
  </si>
  <si>
    <t xml:space="preserve">Bac apres usage ; filtre HEPA tous les 6 mois</t>
  </si>
  <si>
    <t xml:space="preserve">Perte d'aspiration, surchauffe du moteur</t>
  </si>
  <si>
    <t xml:space="preserve">Sous l'appareil ou dans le compartiment a poussiere</t>
  </si>
  <si>
    <t xml:space="preserve">Marque, modele, reference du filtre</t>
  </si>
  <si>
    <t xml:space="preserve">PEM-02</t>
  </si>
  <si>
    <t xml:space="preserve">Robot aspirateur</t>
  </si>
  <si>
    <t xml:space="preserve">4-6 ans</t>
  </si>
  <si>
    <t xml:space="preserve">Brosses et capteurs mensuels ; filtre trimestriel ; batterie 2-3 ans</t>
  </si>
  <si>
    <t xml:space="preserve">20-50 EUR</t>
  </si>
  <si>
    <t xml:space="preserve">Cheveux enroules = moteur force, navigation erratique</t>
  </si>
  <si>
    <t xml:space="preserve">Sous le robot, souvent pres de la batterie</t>
  </si>
  <si>
    <t xml:space="preserve">Aussi visible dans l'application du fabricant</t>
  </si>
  <si>
    <t xml:space="preserve">PEM-03</t>
  </si>
  <si>
    <t xml:space="preserve">Purificateur d'air</t>
  </si>
  <si>
    <t xml:space="preserve">7-10 ans</t>
  </si>
  <si>
    <t xml:space="preserve">Filtres tous les 6-12 mois</t>
  </si>
  <si>
    <t xml:space="preserve">40-90 EUR</t>
  </si>
  <si>
    <t xml:space="preserve">Filtre sature = rejet de particules accumulees</t>
  </si>
  <si>
    <t xml:space="preserve">Au dos ou sous l'appareil</t>
  </si>
  <si>
    <t xml:space="preserve">Marque, modele, reference des filtres</t>
  </si>
  <si>
    <t xml:space="preserve">PEM-04</t>
  </si>
  <si>
    <t xml:space="preserve">Deshumidificateur</t>
  </si>
  <si>
    <t xml:space="preserve">Reservoir et filtre mensuels</t>
  </si>
  <si>
    <t xml:space="preserve">Developpement bacterien dans le bac</t>
  </si>
  <si>
    <t xml:space="preserve">Marque, modele, type de fluide</t>
  </si>
  <si>
    <t xml:space="preserve">PEM-05</t>
  </si>
  <si>
    <t xml:space="preserve">Fer / centrale vapeur</t>
  </si>
  <si>
    <t xml:space="preserve">5-8 ans</t>
  </si>
  <si>
    <t xml:space="preserve">Detartrage tous les 1-3 mois</t>
  </si>
  <si>
    <t xml:space="preserve">5-15 EUR</t>
  </si>
  <si>
    <t xml:space="preserve">Projection de calcaire sur le linge, panne de chaudiere</t>
  </si>
  <si>
    <t xml:space="preserve">Sous la base ou la station</t>
  </si>
  <si>
    <t xml:space="preserve">Marque, modele</t>
  </si>
  <si>
    <t xml:space="preserve">EAU-01</t>
  </si>
  <si>
    <t xml:space="preserve">Eau</t>
  </si>
  <si>
    <t xml:space="preserve">Reseau de plomberie et robinetterie</t>
  </si>
  <si>
    <t xml:space="preserve">Mousseurs tous les 6 mois ; recherche de fuite annuelle</t>
  </si>
  <si>
    <t xml:space="preserve">Une fuite de chasse d'eau = jusqu'a 200 m3/an perdus</t>
  </si>
  <si>
    <t xml:space="preserve">EAU-02</t>
  </si>
  <si>
    <t xml:space="preserve">Compteur d'eau</t>
  </si>
  <si>
    <t xml:space="preserve">15 ans</t>
  </si>
  <si>
    <t xml:space="preserve">Releve mensuel pour detecter les fuites</t>
  </si>
  <si>
    <t xml:space="preserve">Fuite invisible facturee au plein tarif</t>
  </si>
  <si>
    <t xml:space="preserve">Cadran du compteur</t>
  </si>
  <si>
    <t xml:space="preserve">N. du compteur, index</t>
  </si>
  <si>
    <t xml:space="preserve">La photo releve l'index : suivi mensuel de consommation</t>
  </si>
  <si>
    <t xml:space="preserve">EAU-03</t>
  </si>
  <si>
    <t xml:space="preserve">Disconnecteur / clapet anti-retour</t>
  </si>
  <si>
    <t xml:space="preserve">Arrete du 17/03/2004 (protection des reseaux d'eau potable)</t>
  </si>
  <si>
    <t xml:space="preserve">Controle annuel si arrosage ou recuperateur relie au reseau</t>
  </si>
  <si>
    <t xml:space="preserve">Retour d'eau polluee dans le reseau public, responsabilite engagee</t>
  </si>
  <si>
    <t xml:space="preserve">Marquage sur le corps</t>
  </si>
  <si>
    <t xml:space="preserve">Marque, type (BA, CA, EA)</t>
  </si>
  <si>
    <t xml:space="preserve">EAU-04</t>
  </si>
  <si>
    <t xml:space="preserve">Pompe de relevage</t>
  </si>
  <si>
    <t xml:space="preserve">8-12 ans</t>
  </si>
  <si>
    <t xml:space="preserve">Controle annuel du flotteur et du clapet</t>
  </si>
  <si>
    <t xml:space="preserve">Particulier ou Pro</t>
  </si>
  <si>
    <t xml:space="preserve">Inondation du sous-sol</t>
  </si>
  <si>
    <t xml:space="preserve">Sur le corps ou le moteur de la pompe</t>
  </si>
  <si>
    <t xml:space="preserve">Marque, modele, puissance</t>
  </si>
  <si>
    <t xml:space="preserve">EAU-05</t>
  </si>
  <si>
    <t xml:space="preserve">Puits / forage domestique</t>
  </si>
  <si>
    <t xml:space="preserve">Oui (declaration)</t>
  </si>
  <si>
    <t xml:space="preserve">Art. L2224-9 CGCT ; decret 2008-652</t>
  </si>
  <si>
    <t xml:space="preserve">Declaration obligatoire en mairie ; controle si relie au reseau</t>
  </si>
  <si>
    <t xml:space="preserve">Mairie / service des eaux</t>
  </si>
  <si>
    <t xml:space="preserve">Recepisse de declaration</t>
  </si>
  <si>
    <t xml:space="preserve">Amende, mise en demeure de deconnexion</t>
  </si>
  <si>
    <t xml:space="preserve">Photographier le recepisse de declaration en mairie</t>
  </si>
  <si>
    <t xml:space="preserve">EAU-06</t>
  </si>
  <si>
    <t xml:space="preserve">Recuperateur d'eau de pluie</t>
  </si>
  <si>
    <t xml:space="preserve">Arrete du 21/08/2008 (usages interieurs)</t>
  </si>
  <si>
    <t xml:space="preserve">Filtre tous les 6 mois ; cuve annuelle ; carnet sanitaire si usage interieur</t>
  </si>
  <si>
    <t xml:space="preserve">Carnet sanitaire</t>
  </si>
  <si>
    <t xml:space="preserve">0-100 EUR</t>
  </si>
  <si>
    <t xml:space="preserve">Contamination du reseau, non-conformite en cas de controle</t>
  </si>
  <si>
    <t xml:space="preserve">Etiquette sur la cuve, souvent pres du trou d'homme</t>
  </si>
  <si>
    <t xml:space="preserve">Fabricant, capacite (L)</t>
  </si>
  <si>
    <t xml:space="preserve">EAU-07</t>
  </si>
  <si>
    <t xml:space="preserve">Surpresseur</t>
  </si>
  <si>
    <t xml:space="preserve">Controle de la pression du vase annuel</t>
  </si>
  <si>
    <t xml:space="preserve">Cycles courts = usure rapide de la pompe</t>
  </si>
  <si>
    <t xml:space="preserve">Sur le moteur de la pompe</t>
  </si>
  <si>
    <t xml:space="preserve">Marque, modele, puissance, capacite du vase</t>
  </si>
  <si>
    <t xml:space="preserve">EAU-08</t>
  </si>
  <si>
    <t xml:space="preserve">Ballon tampon / hydroaccumulation</t>
  </si>
  <si>
    <t xml:space="preserve">Controle de la pression et de l'anode tous les 2 ans</t>
  </si>
  <si>
    <t xml:space="preserve">100-150 EUR</t>
  </si>
  <si>
    <t xml:space="preserve">Corrosion interne, perte de stratification</t>
  </si>
  <si>
    <t xml:space="preserve">Sur l'enveloppe du ballon</t>
  </si>
  <si>
    <t xml:space="preserve">Fabricant, capacite (L), pression maximale</t>
  </si>
  <si>
    <t xml:space="preserve">ASS-01</t>
  </si>
  <si>
    <t xml:space="preserve">Assainissement</t>
  </si>
  <si>
    <t xml:space="preserve">Fosse toutes eaux / fosse septique</t>
  </si>
  <si>
    <t xml:space="preserve">30-40 ans</t>
  </si>
  <si>
    <t xml:space="preserve">CSP art. L1331-1-1 ; arrete du 27/04/2012</t>
  </si>
  <si>
    <t xml:space="preserve">Controle SPANC au moins tous les 10 ans ; vidange a 50% de boues (environ 4 ans)</t>
  </si>
  <si>
    <t xml:space="preserve">Vidangeur agree + SPANC</t>
  </si>
  <si>
    <t xml:space="preserve">Bordereau de suivi de vidange + rapport SPANC</t>
  </si>
  <si>
    <t xml:space="preserve">250-400 EUR</t>
  </si>
  <si>
    <t xml:space="preserve">Non-conformite, travaux imposes, majoration de redevance, blocage a la vente</t>
  </si>
  <si>
    <t xml:space="preserve">Photographier le rapport SPANC et le dernier bordereau de vidange</t>
  </si>
  <si>
    <t xml:space="preserve">ASS-02</t>
  </si>
  <si>
    <t xml:space="preserve">Micro-station d'epuration</t>
  </si>
  <si>
    <t xml:space="preserve">Contrat de maintenance annuel ; vidange selon taux de boues (6-12 mois de controle)</t>
  </si>
  <si>
    <t xml:space="preserve">Pro agree</t>
  </si>
  <si>
    <t xml:space="preserve">Contrat + bordereau de vidange</t>
  </si>
  <si>
    <t xml:space="preserve">150-300 EUR/an</t>
  </si>
  <si>
    <t xml:space="preserve">Arret de la biomasse epuratoire, rejets non conformes</t>
  </si>
  <si>
    <t xml:space="preserve">Etiquette sur la cuve ou sur le surpresseur</t>
  </si>
  <si>
    <t xml:space="preserve">Fabricant, modele, capacite (EH), n. d'agrement</t>
  </si>
  <si>
    <t xml:space="preserve">Le n. d'agrement ministeriel est demande par le SPANC</t>
  </si>
  <si>
    <t xml:space="preserve">ASS-03</t>
  </si>
  <si>
    <t xml:space="preserve">Bac a graisse</t>
  </si>
  <si>
    <t xml:space="preserve">Nettoyage tous les 6 mois</t>
  </si>
  <si>
    <t xml:space="preserve">Colmatage de l'epandage, odeurs</t>
  </si>
  <si>
    <t xml:space="preserve">ASS-04</t>
  </si>
  <si>
    <t xml:space="preserve">Prefiltre / filtre a sable</t>
  </si>
  <si>
    <t xml:space="preserve">Nettoyage tous les 6 mois ; controle du sable tous les 10 ans</t>
  </si>
  <si>
    <t xml:space="preserve">Colmatage, remontees d'eaux usees</t>
  </si>
  <si>
    <t xml:space="preserve">ASS-05</t>
  </si>
  <si>
    <t xml:space="preserve">Canalisations EU / EV</t>
  </si>
  <si>
    <t xml:space="preserve">50 ans</t>
  </si>
  <si>
    <t xml:space="preserve">Curage preventif tous les 2-3 ans</t>
  </si>
  <si>
    <t xml:space="preserve">Facture</t>
  </si>
  <si>
    <t xml:space="preserve">Bouchon, refoulement, degat des eaux</t>
  </si>
  <si>
    <t xml:space="preserve">ENE-01</t>
  </si>
  <si>
    <t xml:space="preserve">Panneaux photovoltaiques</t>
  </si>
  <si>
    <t xml:space="preserve">Controle visuel tous les 6 mois ; nettoyage tous les 1-2 ans ; controle pro tous les 2-4 ans</t>
  </si>
  <si>
    <t xml:space="preserve">Salissures = -5 a -15% de production ; point chaud non detecte = risque incendie</t>
  </si>
  <si>
    <t xml:space="preserve">Etiquette au dos de chaque module, inaccessible une fois pose</t>
  </si>
  <si>
    <t xml:space="preserve">Marque, modele, puissance crete (Wc)</t>
  </si>
  <si>
    <t xml:space="preserve">Dossier d'installation ou attestation Consuel</t>
  </si>
  <si>
    <t xml:space="preserve">ENE-02</t>
  </si>
  <si>
    <t xml:space="preserve">Onduleur photovoltaique</t>
  </si>
  <si>
    <t xml:space="preserve">Suivi de production mensuel ; depoussierage annuel</t>
  </si>
  <si>
    <t xml:space="preserve">Sous-production non detectee pendant des mois</t>
  </si>
  <si>
    <t xml:space="preserve">Sur le flanc du boitier</t>
  </si>
  <si>
    <t xml:space="preserve">Aussi visible dans l'application de monitoring</t>
  </si>
  <si>
    <t xml:space="preserve">ENE-03</t>
  </si>
  <si>
    <t xml:space="preserve">Batterie de stockage</t>
  </si>
  <si>
    <t xml:space="preserve">Controle annuel (etat de sante, ventilation)</t>
  </si>
  <si>
    <t xml:space="preserve">Rapport</t>
  </si>
  <si>
    <t xml:space="preserve">Perte de capacite, risque thermique</t>
  </si>
  <si>
    <t xml:space="preserve">Sur le boitier</t>
  </si>
  <si>
    <t xml:space="preserve">Marque, modele, n. de serie, capacite (kWh)</t>
  </si>
  <si>
    <t xml:space="preserve">ENE-04</t>
  </si>
  <si>
    <t xml:space="preserve">Borne de recharge VE (IRVE)</t>
  </si>
  <si>
    <t xml:space="preserve">Controle annuel : cable, prise, differentiel, serrage</t>
  </si>
  <si>
    <t xml:space="preserve">Pro IRVE</t>
  </si>
  <si>
    <t xml:space="preserve">Echauffement des contacts, declenchements, risque incendie</t>
  </si>
  <si>
    <t xml:space="preserve">Sous le capot ou sur le flanc</t>
  </si>
  <si>
    <t xml:space="preserve">Marque, modele, n. de serie, puissance (kW)</t>
  </si>
  <si>
    <t xml:space="preserve">ENE-05</t>
  </si>
  <si>
    <t xml:space="preserve">Tableau electrique et differentiels</t>
  </si>
  <si>
    <t xml:space="preserve">Diagnostic electrique : art. L271-4 CCH (vente si &gt; 15 ans) ; location : validite 6 ans</t>
  </si>
  <si>
    <t xml:space="preserve">Test des differentiels mensuel ; diagnostic a la vente ou a la mise en location</t>
  </si>
  <si>
    <t xml:space="preserve">Particulier + diagnostiqueur certifie</t>
  </si>
  <si>
    <t xml:space="preserve">Diagnostic electrique</t>
  </si>
  <si>
    <t xml:space="preserve">110-160 EUR le diagnostic</t>
  </si>
  <si>
    <t xml:space="preserve">Differentiel bloque = protection nulle contre l'electrocution</t>
  </si>
  <si>
    <t xml:space="preserve">Pas de plaque unique : calibre et sensibilite graves sur chaque differentiel</t>
  </si>
  <si>
    <t xml:space="preserve">Calibre, sensibilite (30 mA), type (AC, A, F)</t>
  </si>
  <si>
    <t xml:space="preserve">ENE-06</t>
  </si>
  <si>
    <t xml:space="preserve">Installation interieure de gaz</t>
  </si>
  <si>
    <t xml:space="preserve">Oui (diagnostic)</t>
  </si>
  <si>
    <t xml:space="preserve">Art. L271-4 CCH</t>
  </si>
  <si>
    <t xml:space="preserve">Diagnostic a la vente si installation &gt; 15 ans (validite 3 ans) ; 6 ans en location</t>
  </si>
  <si>
    <t xml:space="preserve">Diagnostiqueur certifie</t>
  </si>
  <si>
    <t xml:space="preserve">Diagnostic gaz</t>
  </si>
  <si>
    <t xml:space="preserve">110-150 EUR</t>
  </si>
  <si>
    <t xml:space="preserve">Vente bloquee, responsabilite en cas de sinistre</t>
  </si>
  <si>
    <t xml:space="preserve">Photographier le dernier diagnostic gaz</t>
  </si>
  <si>
    <t xml:space="preserve">ENE-07</t>
  </si>
  <si>
    <t xml:space="preserve">Groupe electrogene</t>
  </si>
  <si>
    <t xml:space="preserve">Demarrage mensuel ; vidange annuelle ; carburant stabilise</t>
  </si>
  <si>
    <t xml:space="preserve">Refus de demarrage le jour de la coupure</t>
  </si>
  <si>
    <t xml:space="preserve">Sur le chassis ou le moteur</t>
  </si>
  <si>
    <t xml:space="preserve">Marque, modele, puissance (kVA), n. de serie</t>
  </si>
  <si>
    <t xml:space="preserve">SEC-01</t>
  </si>
  <si>
    <t xml:space="preserve">Securite</t>
  </si>
  <si>
    <t xml:space="preserve">Detecteur de fumee (DAAF)</t>
  </si>
  <si>
    <t xml:space="preserve">10 ans</t>
  </si>
  <si>
    <t xml:space="preserve">Loi 2010-238 ; art. R129-12 a R129-15 CCH</t>
  </si>
  <si>
    <t xml:space="preserve">Installe par le proprietaire ; test mensuel et pile annuelle par l'occupant</t>
  </si>
  <si>
    <t xml:space="preserve">Attestation a transmettre a l'assureur</t>
  </si>
  <si>
    <t xml:space="preserve">Detecteur muet = risque vital ; difficulte d'indemnisation</t>
  </si>
  <si>
    <t xml:space="preserve">Au dos du detecteur</t>
  </si>
  <si>
    <t xml:space="preserve">Date de fabrication ou de fin de vie, norme NF EN 14604</t>
  </si>
  <si>
    <t xml:space="preserve">La photo lit la date : rappel de remplacement a 10 ans cree automatiquement</t>
  </si>
  <si>
    <t xml:space="preserve">SEC-02</t>
  </si>
  <si>
    <t xml:space="preserve">Detecteur de monoxyde de carbone</t>
  </si>
  <si>
    <t xml:space="preserve">Non (fortement recommande)</t>
  </si>
  <si>
    <t xml:space="preserve">Test mensuel ; remplacement tous les 5-7 ans</t>
  </si>
  <si>
    <t xml:space="preserve">25-50 EUR</t>
  </si>
  <si>
    <t xml:space="preserve">Intoxication au CO : environ 100 deces par an en France</t>
  </si>
  <si>
    <t xml:space="preserve">Date de fin de vie, norme NF EN 50291</t>
  </si>
  <si>
    <t xml:space="preserve">Rappel de fin de vie cree automatiquement</t>
  </si>
  <si>
    <t xml:space="preserve">SEC-03</t>
  </si>
  <si>
    <t xml:space="preserve">Extincteur</t>
  </si>
  <si>
    <t xml:space="preserve">20 ans (avec controle)</t>
  </si>
  <si>
    <t xml:space="preserve">Obligatoire en parties communes et ERP ; facultatif en maison individuelle</t>
  </si>
  <si>
    <t xml:space="preserve">Verification annuelle ; requalification tous les 10 ans</t>
  </si>
  <si>
    <t xml:space="preserve">Pro certifie</t>
  </si>
  <si>
    <t xml:space="preserve">Etiquette de controle</t>
  </si>
  <si>
    <t xml:space="preserve">25-50 EUR/an</t>
  </si>
  <si>
    <t xml:space="preserve">Extincteur inoperant au moment critique</t>
  </si>
  <si>
    <t xml:space="preserve">Etiquette sur le corps</t>
  </si>
  <si>
    <t xml:space="preserve">Date de fabrication, date du dernier controle, type d'agent</t>
  </si>
  <si>
    <t xml:space="preserve">SEC-04</t>
  </si>
  <si>
    <t xml:space="preserve">Alarme / systeme anti-intrusion</t>
  </si>
  <si>
    <t xml:space="preserve">Test mensuel ; piles des detecteurs annuelles</t>
  </si>
  <si>
    <t xml:space="preserve">Fausses alarmes ou absence de declenchement</t>
  </si>
  <si>
    <t xml:space="preserve">Sous le capot de la centrale</t>
  </si>
  <si>
    <t xml:space="preserve">Application du fabricant</t>
  </si>
  <si>
    <t xml:space="preserve">SEC-05</t>
  </si>
  <si>
    <t xml:space="preserve">Videosurveillance</t>
  </si>
  <si>
    <t xml:space="preserve">RGPD ; art. 226-1 Code penal si captation de la voie publique ou du voisinage</t>
  </si>
  <si>
    <t xml:space="preserve">Nettoyage des optiques tous les 6 mois ; purge des enregistrements</t>
  </si>
  <si>
    <t xml:space="preserve">Images inexploitables ; plainte pour atteinte a la vie privee</t>
  </si>
  <si>
    <t xml:space="preserve">Sous ou au dos de la camera</t>
  </si>
  <si>
    <t xml:space="preserve">SEC-06</t>
  </si>
  <si>
    <t xml:space="preserve">Interphone / visiophone</t>
  </si>
  <si>
    <t xml:space="preserve">Nettoyage et test annuels</t>
  </si>
  <si>
    <t xml:space="preserve">Platine de rue corrodee par les intemperies</t>
  </si>
  <si>
    <t xml:space="preserve">Au dos du poste interieur</t>
  </si>
  <si>
    <t xml:space="preserve">SEC-07</t>
  </si>
  <si>
    <t xml:space="preserve">Ascenseur privatif / monte-escalier</t>
  </si>
  <si>
    <t xml:space="preserve">Art. L125-2-2 et R125-2 CCH ; decret 2004-964</t>
  </si>
  <si>
    <t xml:space="preserve">Contrat d'entretien obligatoire ; visite au moins toutes les 6 semaines ; controle technique tous les 5 ans</t>
  </si>
  <si>
    <t xml:space="preserve">Ascensoriste</t>
  </si>
  <si>
    <t xml:space="preserve">Carnet d'entretien + rapport quinquennal</t>
  </si>
  <si>
    <t xml:space="preserve">1500-3000 EUR/an</t>
  </si>
  <si>
    <t xml:space="preserve">Responsabilite civile et penale du proprietaire en cas d'accident</t>
  </si>
  <si>
    <t xml:space="preserve">Plaque dans la cabine</t>
  </si>
  <si>
    <t xml:space="preserve">Constructeur, charge nominale, n. d'installation</t>
  </si>
  <si>
    <t xml:space="preserve">Contrat d'entretien</t>
  </si>
  <si>
    <t xml:space="preserve">OUV-01</t>
  </si>
  <si>
    <t xml:space="preserve">Ouvrants</t>
  </si>
  <si>
    <t xml:space="preserve">Portail motorise</t>
  </si>
  <si>
    <t xml:space="preserve">Non (individuel) / Oui (collectif)</t>
  </si>
  <si>
    <t xml:space="preserve">Arrete du 21/12/1993 : visite semestrielle pour les portails collectifs</t>
  </si>
  <si>
    <t xml:space="preserve">Graissage et test des securites tous les 6 mois</t>
  </si>
  <si>
    <t xml:space="preserve">Particulier (individuel) / Pro (collectif)</t>
  </si>
  <si>
    <t xml:space="preserve">Livret d'entretien (collectif)</t>
  </si>
  <si>
    <t xml:space="preserve">0-150 EUR</t>
  </si>
  <si>
    <t xml:space="preserve">Securite anti-ecrasement defaillante, moteur force</t>
  </si>
  <si>
    <t xml:space="preserve">Sur le moteur ou le boitier de commande</t>
  </si>
  <si>
    <t xml:space="preserve">Marque, modele du moteur</t>
  </si>
  <si>
    <t xml:space="preserve">OUV-02</t>
  </si>
  <si>
    <t xml:space="preserve">Porte de garage motorisee</t>
  </si>
  <si>
    <t xml:space="preserve">Arrete du 21/12/1993 (collectif)</t>
  </si>
  <si>
    <t xml:space="preserve">Tous les 6 mois</t>
  </si>
  <si>
    <t xml:space="preserve">Particulier / Pro</t>
  </si>
  <si>
    <t xml:space="preserve">Rupture de ressort, chute du tablier</t>
  </si>
  <si>
    <t xml:space="preserve">Sur le moteur (au plafond) ou le montant de la porte</t>
  </si>
  <si>
    <t xml:space="preserve">OUV-03</t>
  </si>
  <si>
    <t xml:space="preserve">Volets roulants</t>
  </si>
  <si>
    <t xml:space="preserve">15-25 ans</t>
  </si>
  <si>
    <t xml:space="preserve">Nettoyage des coulisses et lubrification annuels</t>
  </si>
  <si>
    <t xml:space="preserve">Lames coincees, moteur grille</t>
  </si>
  <si>
    <t xml:space="preserve">Sur le moteur, dans le coffre : inaccessible</t>
  </si>
  <si>
    <t xml:space="preserve">Marque du moteur</t>
  </si>
  <si>
    <t xml:space="preserve">Facture de l'installateur</t>
  </si>
  <si>
    <t xml:space="preserve">OUV-04</t>
  </si>
  <si>
    <t xml:space="preserve">Fenetres et menuiseries</t>
  </si>
  <si>
    <t xml:space="preserve">Joints, quincaillerie et reglage annuels</t>
  </si>
  <si>
    <t xml:space="preserve">Infiltrations, deperdition thermique, ferrage desaxe</t>
  </si>
  <si>
    <t xml:space="preserve">Marquage dans la feuillure du dormant (pas systematique)</t>
  </si>
  <si>
    <t xml:space="preserve">Fabricant, certification</t>
  </si>
  <si>
    <t xml:space="preserve">OUV-05</t>
  </si>
  <si>
    <t xml:space="preserve">Store banne / pergola</t>
  </si>
  <si>
    <t xml:space="preserve">Nettoyage de la toile et graissage annuels</t>
  </si>
  <si>
    <t xml:space="preserve">0-80 EUR</t>
  </si>
  <si>
    <t xml:space="preserve">Toile moisie, bras bloques, casse au premier coup de vent</t>
  </si>
  <si>
    <t xml:space="preserve">Etiquette sous le coffre ou sur la barre de charge</t>
  </si>
  <si>
    <t xml:space="preserve">Fabricant, modele, dimensions</t>
  </si>
  <si>
    <t xml:space="preserve">PIS-01</t>
  </si>
  <si>
    <t xml:space="preserve">Piscine</t>
  </si>
  <si>
    <t xml:space="preserve">Bassin de piscine enterree</t>
  </si>
  <si>
    <t xml:space="preserve">Oui (securite)</t>
  </si>
  <si>
    <t xml:space="preserve">Loi 2003-9 ; art. L128-1 et R128-1 CCH</t>
  </si>
  <si>
    <t xml:space="preserve">Dispositif de securite normalise obligatoire en permanence (barriere, alarme, couverture ou abri)</t>
  </si>
  <si>
    <t xml:space="preserve">Attestation de conformite du dispositif</t>
  </si>
  <si>
    <t xml:space="preserve">45 000 EUR d'amende si absence</t>
  </si>
  <si>
    <t xml:space="preserve">Noyade d'enfant ; amende jusqu'a 45 000 EUR</t>
  </si>
  <si>
    <t xml:space="preserve">Photographier l'attestation de conformite du dispositif de securite</t>
  </si>
  <si>
    <t xml:space="preserve">PIS-02</t>
  </si>
  <si>
    <t xml:space="preserve">Filtre a sable</t>
  </si>
  <si>
    <t xml:space="preserve">Contre-lavage hebdomadaire en saison ; remplacement du sable tous les 5-7 ans</t>
  </si>
  <si>
    <t xml:space="preserve">150-300 EUR le sable</t>
  </si>
  <si>
    <t xml:space="preserve">Sable colmate = eau trouble, surconsommation de produits</t>
  </si>
  <si>
    <t xml:space="preserve">Etiquette sur la cuve du filtre</t>
  </si>
  <si>
    <t xml:space="preserve">Marque, modele, diametre, debit, volume de sable</t>
  </si>
  <si>
    <t xml:space="preserve">Le volume de sable conditionne la commande de recharge</t>
  </si>
  <si>
    <t xml:space="preserve">PIS-03</t>
  </si>
  <si>
    <t xml:space="preserve">Pompe de filtration</t>
  </si>
  <si>
    <t xml:space="preserve">Prefiltre hebdomadaire ; hivernage annuel</t>
  </si>
  <si>
    <t xml:space="preserve">Pompe desamorcee ou gelee = remplacement complet</t>
  </si>
  <si>
    <t xml:space="preserve">Sur le moteur</t>
  </si>
  <si>
    <t xml:space="preserve">Marque, modele, puissance, debit</t>
  </si>
  <si>
    <t xml:space="preserve">PIS-04</t>
  </si>
  <si>
    <t xml:space="preserve">Electrolyseur au sel</t>
  </si>
  <si>
    <t xml:space="preserve">Controle de la cellule mensuel ; detartrage annuel</t>
  </si>
  <si>
    <t xml:space="preserve">0-40 EUR</t>
  </si>
  <si>
    <t xml:space="preserve">Cellule entartree = production de chlore nulle</t>
  </si>
  <si>
    <t xml:space="preserve">Sur le coffret de commande</t>
  </si>
  <si>
    <t xml:space="preserve">Marque, modele, capacite (m3)</t>
  </si>
  <si>
    <t xml:space="preserve">PIS-05</t>
  </si>
  <si>
    <t xml:space="preserve">Pompe a chaleur de piscine</t>
  </si>
  <si>
    <t xml:space="preserve">Echangeur entartre, fuite de fluide frigorigene</t>
  </si>
  <si>
    <t xml:space="preserve">Flanc de l'appareil</t>
  </si>
  <si>
    <t xml:space="preserve">PIS-06</t>
  </si>
  <si>
    <t xml:space="preserve">Robot de piscine</t>
  </si>
  <si>
    <t xml:space="preserve">Rincage et filtre apres chaque usage ; brosses annuelles</t>
  </si>
  <si>
    <t xml:space="preserve">30-80 EUR</t>
  </si>
  <si>
    <t xml:space="preserve">Moteur encrasse, courroies rompues</t>
  </si>
  <si>
    <t xml:space="preserve">Sous le robot ou sur le boitier d'alimentation</t>
  </si>
  <si>
    <t xml:space="preserve">PIS-07</t>
  </si>
  <si>
    <t xml:space="preserve">Alarme de piscine</t>
  </si>
  <si>
    <t xml:space="preserve">Norme NF P90-307 ; obligatoire des lors que l'alarme est le dispositif de securite retenu</t>
  </si>
  <si>
    <t xml:space="preserve">Test mensuel ; pile annuelle</t>
  </si>
  <si>
    <t xml:space="preserve">Attestation de conformite</t>
  </si>
  <si>
    <t xml:space="preserve">Dispositif reglementaire inoperant = responsabilite penale</t>
  </si>
  <si>
    <t xml:space="preserve">Marque, modele, norme NF P90-307</t>
  </si>
  <si>
    <t xml:space="preserve">La mention de la norme prouve la conformite du dispositif</t>
  </si>
  <si>
    <t xml:space="preserve">PIS-08</t>
  </si>
  <si>
    <t xml:space="preserve">Spa / jacuzzi</t>
  </si>
  <si>
    <t xml:space="preserve">Filtres mensuels ; vidange tous les 3 mois ; detartrage annuel</t>
  </si>
  <si>
    <t xml:space="preserve">50-150 EUR</t>
  </si>
  <si>
    <t xml:space="preserve">Legionelle, biofilm dans les canalisations</t>
  </si>
  <si>
    <t xml:space="preserve">Sur le coffret electrique ou le flanc de la cuve</t>
  </si>
  <si>
    <t xml:space="preserve">JAR-01</t>
  </si>
  <si>
    <t xml:space="preserve">Jardin</t>
  </si>
  <si>
    <t xml:space="preserve">Tondeuse thermique</t>
  </si>
  <si>
    <t xml:space="preserve">Vidange, bougie, filtre a air et affutage annuels</t>
  </si>
  <si>
    <t xml:space="preserve">30-60 EUR</t>
  </si>
  <si>
    <t xml:space="preserve">Moteur grippe, coupe qui arrache l'herbe</t>
  </si>
  <si>
    <t xml:space="preserve">Sur le carter ou le moteur</t>
  </si>
  <si>
    <t xml:space="preserve">Marque, modele, n. de serie, cylindree</t>
  </si>
  <si>
    <t xml:space="preserve">Le modele de moteur donne les references de bougie et de filtre</t>
  </si>
  <si>
    <t xml:space="preserve">JAR-02</t>
  </si>
  <si>
    <t xml:space="preserve">Robot tondeuse</t>
  </si>
  <si>
    <t xml:space="preserve">Lames tous les 2-3 mois ; hivernage ; batterie tous les 3-5 ans</t>
  </si>
  <si>
    <t xml:space="preserve">Lames emoussees = surconsommation et pelouse abimee</t>
  </si>
  <si>
    <t xml:space="preserve">Sous le robot</t>
  </si>
  <si>
    <t xml:space="preserve">JAR-03</t>
  </si>
  <si>
    <t xml:space="preserve">Taille-haie / debroussailleuse</t>
  </si>
  <si>
    <t xml:space="preserve">Affutage, filtre a air et graissage annuels</t>
  </si>
  <si>
    <t xml:space="preserve">Lames grippees, moteur noye au redemarrage</t>
  </si>
  <si>
    <t xml:space="preserve">Sur le corps de l'appareil</t>
  </si>
  <si>
    <t xml:space="preserve">JAR-04</t>
  </si>
  <si>
    <t xml:space="preserve">Nettoyeur haute pression</t>
  </si>
  <si>
    <t xml:space="preserve">Filtre apres usage ; hivernage avec antigel</t>
  </si>
  <si>
    <t xml:space="preserve">Pompe fendue par le gel : appareil perdu</t>
  </si>
  <si>
    <t xml:space="preserve">Sur le flanc</t>
  </si>
  <si>
    <t xml:space="preserve">Marque, modele, pression, debit</t>
  </si>
  <si>
    <t xml:space="preserve">JAR-05</t>
  </si>
  <si>
    <t xml:space="preserve">Arrosage automatique</t>
  </si>
  <si>
    <t xml:space="preserve">Controle des goutteurs au printemps ; purge hivernale</t>
  </si>
  <si>
    <t xml:space="preserve">Canalisations eclatees par le gel</t>
  </si>
  <si>
    <t xml:space="preserve">Sur le programmateur</t>
  </si>
  <si>
    <t xml:space="preserve">JAR-06</t>
  </si>
  <si>
    <t xml:space="preserve">Barbecue / plancha gaz</t>
  </si>
  <si>
    <t xml:space="preserve">Bruleurs annuels ; controle du flexible (date de peremption)</t>
  </si>
  <si>
    <t xml:space="preserve">Fuite de gaz, retour de flamme</t>
  </si>
  <si>
    <t xml:space="preserve">Sous la cuve ou sur le chariot</t>
  </si>
  <si>
    <t xml:space="preserve">Photographier aussi la date imprimee sur le flexible</t>
  </si>
  <si>
    <t xml:space="preserve">JAR-07</t>
  </si>
  <si>
    <t xml:space="preserve">Abri / cabane de jardin</t>
  </si>
  <si>
    <t xml:space="preserve">Traitement du bois tous les 2-3 ans</t>
  </si>
  <si>
    <t xml:space="preserve">40-80 EUR</t>
  </si>
  <si>
    <t xml:space="preserve">Pourrissement des lisses basses, toiture percee</t>
  </si>
  <si>
    <t xml:space="preserve">BAT-01</t>
  </si>
  <si>
    <t xml:space="preserve">Bati</t>
  </si>
  <si>
    <t xml:space="preserve">Toiture</t>
  </si>
  <si>
    <t xml:space="preserve">40-70 ans</t>
  </si>
  <si>
    <t xml:space="preserve">Controle visuel annuel ; demoussage tous les 5-10 ans</t>
  </si>
  <si>
    <t xml:space="preserve">400-1200 EUR</t>
  </si>
  <si>
    <t xml:space="preserve">Infiltration = charpente et isolation a reprendre</t>
  </si>
  <si>
    <t xml:space="preserve">Facture du dernier demoussage ou de la derniere reparation</t>
  </si>
  <si>
    <t xml:space="preserve">BAT-02</t>
  </si>
  <si>
    <t xml:space="preserve">Gouttieres et descentes</t>
  </si>
  <si>
    <t xml:space="preserve">Nettoyage 2 fois par an (automne et printemps)</t>
  </si>
  <si>
    <t xml:space="preserve">0-200 EUR</t>
  </si>
  <si>
    <t xml:space="preserve">Debordement, infiltration en pied de mur, humidite ascensionnelle</t>
  </si>
  <si>
    <t xml:space="preserve">BAT-03</t>
  </si>
  <si>
    <t xml:space="preserve">Facade / enduit</t>
  </si>
  <si>
    <t xml:space="preserve">Art. L132-1 CCH : ravalement imposable par arrete municipal (souvent tous les 10 ans)</t>
  </si>
  <si>
    <t xml:space="preserve">Controle annuel ; ravalement tous les 10-15 ans</t>
  </si>
  <si>
    <t xml:space="preserve">Facture de ravalement</t>
  </si>
  <si>
    <t xml:space="preserve">Injonction municipale, execution d'office aux frais du proprietaire</t>
  </si>
  <si>
    <t xml:space="preserve">Facture du dernier ravalement</t>
  </si>
  <si>
    <t xml:space="preserve">BAT-04</t>
  </si>
  <si>
    <t xml:space="preserve">Terrasse bois</t>
  </si>
  <si>
    <t xml:space="preserve">Nettoyage et saturateur annuels</t>
  </si>
  <si>
    <t xml:space="preserve">40-100 EUR</t>
  </si>
  <si>
    <t xml:space="preserve">Grisaillement, echardes, lames fendues</t>
  </si>
  <si>
    <t xml:space="preserve">BAT-05</t>
  </si>
  <si>
    <t xml:space="preserve">Charpente</t>
  </si>
  <si>
    <t xml:space="preserve">80-100 ans</t>
  </si>
  <si>
    <t xml:space="preserve">Controle termites et insectes xylophages tous les 3-5 ans</t>
  </si>
  <si>
    <t xml:space="preserve">Diagnostic</t>
  </si>
  <si>
    <t xml:space="preserve">Attaque non detectee = reprise structurelle tres lourde</t>
  </si>
  <si>
    <t xml:space="preserve">Dernier diagnostic termites ou traitement</t>
  </si>
  <si>
    <t xml:space="preserve">BAT-06</t>
  </si>
  <si>
    <t xml:space="preserve">Combles et isolation</t>
  </si>
  <si>
    <t xml:space="preserve">Controle annuel : humidite, tassement, nuisibles</t>
  </si>
  <si>
    <t xml:space="preserve">Isolant tasse ou humide = performance divisee par deux</t>
  </si>
  <si>
    <t xml:space="preserve">BAT-07</t>
  </si>
  <si>
    <t xml:space="preserve">Vide sanitaire / cave</t>
  </si>
  <si>
    <t xml:space="preserve">Controle de l'humidite et de la ventilation annuel</t>
  </si>
  <si>
    <t xml:space="preserve">Remontees capillaires, salpetre, planchers degrades</t>
  </si>
  <si>
    <t xml:space="preserve">VEH-01</t>
  </si>
  <si>
    <t xml:space="preserve">Voiture (thermique, hybride ou electrique)</t>
  </si>
  <si>
    <t xml:space="preserve">Code de la route art. R323-1 et suivants</t>
  </si>
  <si>
    <t xml:space="preserve">1er controle dans les 6 mois precedant le 4e anniversaire, puis tous les 2 ans</t>
  </si>
  <si>
    <t xml:space="preserve">Centre de controle agree</t>
  </si>
  <si>
    <t xml:space="preserve">Proces-verbal de controle technique</t>
  </si>
  <si>
    <t xml:space="preserve">70-90 EUR</t>
  </si>
  <si>
    <t xml:space="preserve">Amende de 135 EUR, immobilisation possible, difficultes avec l'assureur apres un sinistre</t>
  </si>
  <si>
    <t xml:space="preserve">Certificat d'immatriculation (carte grise)</t>
  </si>
  <si>
    <t xml:space="preserve">Date de premiere immatriculation (champ B), marque, modele, immatriculation</t>
  </si>
  <si>
    <t xml:space="preserve">La photo suffit a calculer l'echeance du controle technique. Ne conserver que ces champs : la carte grise porte nom et adresse</t>
  </si>
  <si>
    <t xml:space="preserve">VEH-02</t>
  </si>
  <si>
    <t xml:space="preserve">Deux-roues, trois-roues ou quadricycle motorise (moto, scooter)</t>
  </si>
  <si>
    <t xml:space="preserve">Decret n. 2023-974 et arrete du 23/10/2023</t>
  </si>
  <si>
    <t xml:space="preserve">1er controle entre 4,5 et 5 ans apres la 1re immatriculation, puis tous les 3 ans (calendrier transitoire avant 2022)</t>
  </si>
  <si>
    <t xml:space="preserve">Centre de controle agree categorie L</t>
  </si>
  <si>
    <t xml:space="preserve">50-70 EUR</t>
  </si>
  <si>
    <t xml:space="preserve">Amende de 135 EUR</t>
  </si>
  <si>
    <t xml:space="preserve">Idem voiture : l'echeance du controle technique se calcule depuis le champ B</t>
  </si>
  <si>
    <t xml:space="preserve">VEH-03</t>
  </si>
  <si>
    <t xml:space="preserve">Velo a assistance electrique</t>
  </si>
  <si>
    <t xml:space="preserve">8-12 ans (batterie 4-6 ans)</t>
  </si>
  <si>
    <t xml:space="preserve">Revision annuelle recommandee</t>
  </si>
  <si>
    <t xml:space="preserve">Particulier ou reparateur velo</t>
  </si>
  <si>
    <t xml:space="preserve">Facture d'entretien</t>
  </si>
  <si>
    <t xml:space="preserve">60-100 EUR</t>
  </si>
  <si>
    <t xml:space="preserve">Freinage degrade, transmission usee, batterie abimee par un stockage a plat ou a pleine charge</t>
  </si>
  <si>
    <t xml:space="preserve">Numero de cadre grave sous le pedalier ; etiquette sur le boitier de la batterie</t>
  </si>
  <si>
    <t xml:space="preserve">Marque, modele, numero de cadre, capacite de la batterie (Wh)</t>
  </si>
  <si>
    <t xml:space="preserve">Le numero de cadre sert aussi en cas de vol</t>
  </si>
  <si>
    <t xml:space="preserve">Bibliotheque des taches d'entretien</t>
  </si>
  <si>
    <t xml:space="preserve">Le coeur du produit. La colonne Si non fait est ce qui declenche l'action chez l'utilisateur, bien plus que le rappel lui-meme.</t>
  </si>
  <si>
    <t xml:space="preserve">ID tache</t>
  </si>
  <si>
    <t xml:space="preserve">ID equip.</t>
  </si>
  <si>
    <t xml:space="preserve">Tache</t>
  </si>
  <si>
    <t xml:space="preserve">DIY / Pro</t>
  </si>
  <si>
    <t xml:space="preserve">Frequence (mois)</t>
  </si>
  <si>
    <t xml:space="preserve">Frequence (texte)</t>
  </si>
  <si>
    <t xml:space="preserve">Periode recommandee</t>
  </si>
  <si>
    <t xml:space="preserve">Duree (min)</t>
  </si>
  <si>
    <t xml:space="preserve">Outils et consommables</t>
  </si>
  <si>
    <t xml:space="preserve">Mode operatoire</t>
  </si>
  <si>
    <t xml:space="preserve">Si la tache n'est pas faite</t>
  </si>
  <si>
    <t xml:space="preserve">T-001</t>
  </si>
  <si>
    <t xml:space="preserve">Entretien annuel par un professionnel</t>
  </si>
  <si>
    <t xml:space="preserve">Tous les 12 mois</t>
  </si>
  <si>
    <t xml:space="preserve">Aout a octobre (avant la chauffe)</t>
  </si>
  <si>
    <t xml:space="preserve">Prestataire qualifie PG</t>
  </si>
  <si>
    <t xml:space="preserve">Prendre rendez-vous hors pic saisonnier. Le technicien controle le corps de chauffe, le bruleur, les organes de securite, mesure le taux de CO et le rendement. Recuperer l'attestation sous 15 jours et l'archiver.</t>
  </si>
  <si>
    <t xml:space="preserve">Obligation legale non respectee, risque de CO, refus de prise en charge par l'assurance</t>
  </si>
  <si>
    <t xml:space="preserve">T-002</t>
  </si>
  <si>
    <t xml:space="preserve">Controle de la pression du circuit</t>
  </si>
  <si>
    <t xml:space="preserve">DIY</t>
  </si>
  <si>
    <t xml:space="preserve">Tous les mois</t>
  </si>
  <si>
    <t xml:space="preserve">Toute l'annee</t>
  </si>
  <si>
    <t xml:space="preserve">Aucun (manometre integre)</t>
  </si>
  <si>
    <t xml:space="preserve">Lire le manometre a froid. Entre 1 et 1,5 bar en general. Si en dessous, ouvrir la vanne de remplissage jusqu'a 1,2 bar puis refermer. Si la pression rechute chaque semaine, il y a une fuite : appeler un professionnel.</t>
  </si>
  <si>
    <t xml:space="preserve">Mise en securite de la chaudiere, arret du chauffage</t>
  </si>
  <si>
    <t xml:space="preserve">T-003</t>
  </si>
  <si>
    <t xml:space="preserve">Purge du circulateur et verification du vase d'expansion</t>
  </si>
  <si>
    <t xml:space="preserve">Pendant l'entretien annuel</t>
  </si>
  <si>
    <t xml:space="preserve">Manometre, pompe a velo</t>
  </si>
  <si>
    <t xml:space="preserve">A faire realiser lors de l'entretien : controle de la pression de gonflage du vase (generalement 0,8 a 1 bar, circuit vide) et purge du circulateur.</t>
  </si>
  <si>
    <t xml:space="preserve">Vase creve = variations de pression permanentes et fatigue du circuit</t>
  </si>
  <si>
    <t xml:space="preserve">T-004</t>
  </si>
  <si>
    <t xml:space="preserve">Entretien annuel chaudiere fioul</t>
  </si>
  <si>
    <t xml:space="preserve">Aout a octobre</t>
  </si>
  <si>
    <t xml:space="preserve">Prestataire qualifie</t>
  </si>
  <si>
    <t xml:space="preserve">Nettoyage du corps de chauffe et de la buse, remplacement du gicleur et du filtre fioul, reglage de la combustion avec analyseur, mesure de l'indice de noircissement. Attestation a archiver.</t>
  </si>
  <si>
    <t xml:space="preserve">Bruleur encrasse, surconsommation, panne en plein hiver</t>
  </si>
  <si>
    <t xml:space="preserve">T-005</t>
  </si>
  <si>
    <t xml:space="preserve">Releve du niveau de la cuve et commande anticipee</t>
  </si>
  <si>
    <t xml:space="preserve">Octobre a mars</t>
  </si>
  <si>
    <t xml:space="preserve">Jauge</t>
  </si>
  <si>
    <t xml:space="preserve">Relever le niveau. Commander des que la cuve descend sous 25% : les delais et les prix montent fortement en pleine saison de chauffe.</t>
  </si>
  <si>
    <t xml:space="preserve">Panne seche, aspiration des boues de fond de cuve</t>
  </si>
  <si>
    <t xml:space="preserve">T-006</t>
  </si>
  <si>
    <t xml:space="preserve">Entretien annuel chaudiere bois / granules</t>
  </si>
  <si>
    <t xml:space="preserve">Aout a septembre</t>
  </si>
  <si>
    <t xml:space="preserve">Nettoyage complet de l'echangeur, du foyer et du systeme d'extraction des cendres, controle des sondes et de la vis sans fin, reglage de la combustion.</t>
  </si>
  <si>
    <t xml:space="preserve">Perte de rendement, blocage de la vis d'alimentation</t>
  </si>
  <si>
    <t xml:space="preserve">T-007</t>
  </si>
  <si>
    <t xml:space="preserve">Vidage du cendrier</t>
  </si>
  <si>
    <t xml:space="preserve">Toutes les 2 a 6 semaines selon usage</t>
  </si>
  <si>
    <t xml:space="preserve">Octobre a avril</t>
  </si>
  <si>
    <t xml:space="preserve">Aspirateur a cendres</t>
  </si>
  <si>
    <t xml:space="preserve">Laisser refroidir completement. Aspirer avec un aspirateur a cendres uniquement (jamais un aspirateur domestique). Verifier que le cendrier est bien reclipse.</t>
  </si>
  <si>
    <t xml:space="preserve">Debordement dans le foyer, combustion degradee</t>
  </si>
  <si>
    <t xml:space="preserve">T-008</t>
  </si>
  <si>
    <t xml:space="preserve">Nettoyage du creuset et de la vitre</t>
  </si>
  <si>
    <t xml:space="preserve">Toutes les semaines en saison</t>
  </si>
  <si>
    <t xml:space="preserve">Aspirateur a cendres, grattoir, chiffon</t>
  </si>
  <si>
    <t xml:space="preserve">Appareil froid. Retirer le creuset, gratter les trous d'arrivee d'air un par un, aspirer le logement. Nettoyer la vitre avec de la cendre humide sur du papier journal.</t>
  </si>
  <si>
    <t xml:space="preserve">Trous obstrues = mauvaise combustion, extinction, code d'erreur</t>
  </si>
  <si>
    <t xml:space="preserve">T-009</t>
  </si>
  <si>
    <t xml:space="preserve">Nettoyage de l'echangeur et des conduits internes</t>
  </si>
  <si>
    <t xml:space="preserve">Tous les mois en saison</t>
  </si>
  <si>
    <t xml:space="preserve">Aspirateur a cendres, ecouvillon fourni</t>
  </si>
  <si>
    <t xml:space="preserve">Actionner les tringles de decendrage si l'appareil en dispose, ouvrir les trappes de ramonage internes et aspirer. Se referer a la notice pour l'emplacement exact des trappes.</t>
  </si>
  <si>
    <t xml:space="preserve">Echangeur encrasse = jusqu'a 20% de rendement perdu</t>
  </si>
  <si>
    <t xml:space="preserve">T-010</t>
  </si>
  <si>
    <t xml:space="preserve">Entretien annuel complet par un professionnel</t>
  </si>
  <si>
    <t xml:space="preserve">Demontage, nettoyage des ventilateurs et du bougeoir, controle des joints, de la sonde de temperature et du pressostat, mise a jour des parametres de combustion.</t>
  </si>
  <si>
    <t xml:space="preserve">Obligation legale, usure prematuree, arret en pleine saison</t>
  </si>
  <si>
    <t xml:space="preserve">T-011</t>
  </si>
  <si>
    <t xml:space="preserve">Remplacement des joints de porte et de vitre</t>
  </si>
  <si>
    <t xml:space="preserve">Tous les 3 ans</t>
  </si>
  <si>
    <t xml:space="preserve">Hors saison</t>
  </si>
  <si>
    <t xml:space="preserve">Kit de joints, colle refractaire</t>
  </si>
  <si>
    <t xml:space="preserve">A faire realiser lors de l'entretien annuel. Test prealable : glisser une feuille de papier dans la porte fermee, si elle coulisse sans resistance, le joint est a changer.</t>
  </si>
  <si>
    <t xml:space="preserve">Entree d'air parasite, combustion incontrolee, surconsommation</t>
  </si>
  <si>
    <t xml:space="preserve">T-012</t>
  </si>
  <si>
    <t xml:space="preserve">Nettoyage de la vitre et du foyer</t>
  </si>
  <si>
    <t xml:space="preserve">Cendre, papier journal, aspirateur a cendres</t>
  </si>
  <si>
    <t xml:space="preserve">Laisser un lit de cendres de 2 a 3 cm au fond du foyer : il favorise la combustion. Nettoyer la vitre avec du papier journal humidifie trempe dans la cendre.</t>
  </si>
  <si>
    <t xml:space="preserve">Vitre opaque, mauvais tirage</t>
  </si>
  <si>
    <t xml:space="preserve">T-013</t>
  </si>
  <si>
    <t xml:space="preserve">Entretien annuel de l'appareil</t>
  </si>
  <si>
    <t xml:space="preserve">Controle des briques refractaires, du deflecteur, des joints et du tirage. A coupler avec le ramonage pour une seule intervention.</t>
  </si>
  <si>
    <t xml:space="preserve">Deflecteur perce = chaleur perdue et conduit surchauffe</t>
  </si>
  <si>
    <t xml:space="preserve">T-014</t>
  </si>
  <si>
    <t xml:space="preserve">Ramonage mecanique du conduit</t>
  </si>
  <si>
    <t xml:space="preserve">1 fois par an minimum</t>
  </si>
  <si>
    <t xml:space="preserve">Aout a septembre, ou fevrier-mars</t>
  </si>
  <si>
    <t xml:space="preserve">Ramoneur qualifie</t>
  </si>
  <si>
    <t xml:space="preserve">Ramonage mecanique obligatoire (herisson), le ramonage chimique ne vaut pas preuve. Exiger le certificat de ramonage et le conserver 5 ans : c'est la piece que l'assureur reclame apres un sinistre.</t>
  </si>
  <si>
    <t xml:space="preserve">Amende jusqu'a 450 EUR, refus d'indemnisation en cas de feu de cheminee</t>
  </si>
  <si>
    <t xml:space="preserve">T-015</t>
  </si>
  <si>
    <t xml:space="preserve">Second ramonage pour les gros consommateurs</t>
  </si>
  <si>
    <t xml:space="preserve">2e passage si &gt; 6 m3 de bois ou &gt; 2,5 t de granules par an</t>
  </si>
  <si>
    <t xml:space="preserve">Pendant la periode de chauffe</t>
  </si>
  <si>
    <t xml:space="preserve">Verifier sa consommation annuelle. Au-dela des seuils, un second ramonage est requis, dont un pendant la periode d'utilisation. Certaines communes restent plus exigeantes : verifier en mairie.</t>
  </si>
  <si>
    <t xml:space="preserve">Non-conformite, bistre accumule, risque de feu de conduit</t>
  </si>
  <si>
    <t xml:space="preserve">T-016</t>
  </si>
  <si>
    <t xml:space="preserve">Ramonage du conduit de cheminee ouverte</t>
  </si>
  <si>
    <t xml:space="preserve">Avant la saison de chauffe</t>
  </si>
  <si>
    <t xml:space="preserve">Meme obligation que pour un foyer ferme. Le foyer ouvert lui-meme est dispense d'entretien reglementaire mais doit etre maintenu propre et en bon etat.</t>
  </si>
  <si>
    <t xml:space="preserve">T-017</t>
  </si>
  <si>
    <t xml:space="preserve">Entretien biennal de la PAC</t>
  </si>
  <si>
    <t xml:space="preserve">Printemps ou automne</t>
  </si>
  <si>
    <t xml:space="preserve">Controle de l'etancheite du circuit frigorifique, des pressions, du degivrage, nettoyage de l'echangeur, controle du circulateur et de la regulation. Attestation a archiver.</t>
  </si>
  <si>
    <t xml:space="preserve">Obligation legale, perte de COP, casse compresseur (3000 a 6000 EUR)</t>
  </si>
  <si>
    <t xml:space="preserve">T-018</t>
  </si>
  <si>
    <t xml:space="preserve">Nettoyage de l'unite exterieure</t>
  </si>
  <si>
    <t xml:space="preserve">Avril et octobre</t>
  </si>
  <si>
    <t xml:space="preserve">Brosse souple, jet d'eau basse pression</t>
  </si>
  <si>
    <t xml:space="preserve">Couper l'alimentation. Retirer feuilles et debris autour de l'unite, brosser delicatement les ailettes dans le sens des lamelles. Degager 50 cm tout autour. Ne jamais utiliser de nettoyeur haute pression.</t>
  </si>
  <si>
    <t xml:space="preserve">Echangeur obstrue = perte de rendement et degivrages a repetition</t>
  </si>
  <si>
    <t xml:space="preserve">T-019</t>
  </si>
  <si>
    <t xml:space="preserve">Controle du degagement hivernal et de l'evacuation des condensats</t>
  </si>
  <si>
    <t xml:space="preserve">Tous les ans</t>
  </si>
  <si>
    <t xml:space="preserve">Novembre</t>
  </si>
  <si>
    <t xml:space="preserve">Aucun</t>
  </si>
  <si>
    <t xml:space="preserve">Verifier que l'evacuation des condensats sous l'unite n'est pas obstruee et que l'unite n'est pas posee dans une cuvette qui gele. Surelever si necessaire.</t>
  </si>
  <si>
    <t xml:space="preserve">Bac de degivrage pris en glace, ventilateur bloque</t>
  </si>
  <si>
    <t xml:space="preserve">T-020</t>
  </si>
  <si>
    <t xml:space="preserve">Nettoyage des filtres des unites interieures</t>
  </si>
  <si>
    <t xml:space="preserve">Tous les mois en saison d'usage</t>
  </si>
  <si>
    <t xml:space="preserve">Eau tiede savonneuse</t>
  </si>
  <si>
    <t xml:space="preserve">Ouvrir la facade, retirer les filtres, laver a l'eau tiede, secher completement a l'ombre avant remontage. Un filtre remonte humide devient un nid a moisissures.</t>
  </si>
  <si>
    <t xml:space="preserve">Debit d'air reduit, odeurs, allergenes diffuses dans le logement</t>
  </si>
  <si>
    <t xml:space="preserve">T-021</t>
  </si>
  <si>
    <t xml:space="preserve">Entretien biennal du systeme</t>
  </si>
  <si>
    <t xml:space="preserve">Printemps</t>
  </si>
  <si>
    <t xml:space="preserve">Controle d'etancheite, desinfection de l'echangeur interieur, controle des pressions et du bac a condensats.</t>
  </si>
  <si>
    <t xml:space="preserve">Obligation legale, fuite de fluide frigorigene a fort pouvoir rechauffant</t>
  </si>
  <si>
    <t xml:space="preserve">T-022</t>
  </si>
  <si>
    <t xml:space="preserve">Purge des radiateurs</t>
  </si>
  <si>
    <t xml:space="preserve">Septembre ou octobre</t>
  </si>
  <si>
    <t xml:space="preserve">Cle de purge, chiffon, recipient</t>
  </si>
  <si>
    <t xml:space="preserve">Chauffage en marche puis coupe 1 h avant. Commencer par le radiateur le plus bas et le plus proche de la chaudiere, finir par le plus eloigne en etage. Ouvrir jusqu'a ce que l'eau coule sans bulles. Retablir la pression a la fin.</t>
  </si>
  <si>
    <t xml:space="preserve">Radiateurs froids en partie haute, gargouillis, surconsommation</t>
  </si>
  <si>
    <t xml:space="preserve">T-023</t>
  </si>
  <si>
    <t xml:space="preserve">Depoussierage des radiateurs</t>
  </si>
  <si>
    <t xml:space="preserve">Septembre et mars</t>
  </si>
  <si>
    <t xml:space="preserve">Aspirateur, goupillon long</t>
  </si>
  <si>
    <t xml:space="preserve">Aspirer les ailettes par le dessus et passer un goupillon entre les lames. La poussiere agit comme un isolant sur la surface d'echange.</t>
  </si>
  <si>
    <t xml:space="preserve">Jusqu'a 10% de rendement perdu</t>
  </si>
  <si>
    <t xml:space="preserve">T-024</t>
  </si>
  <si>
    <t xml:space="preserve">Desembouage du circuit</t>
  </si>
  <si>
    <t xml:space="preserve">Tous les 8 a 10 ans</t>
  </si>
  <si>
    <t xml:space="preserve">Hors saison de chauffe</t>
  </si>
  <si>
    <t xml:space="preserve">Prestataire specialise</t>
  </si>
  <si>
    <t xml:space="preserve">Injection d'un desembouant, circulation, rincage et repose d'un inhibiteur de corrosion. Recommande d'installer un pot a boues magnetique a cette occasion.</t>
  </si>
  <si>
    <t xml:space="preserve">Boues = circulateur qui casse, echangeur bouche, jusqu'a 15% de rendement perdu</t>
  </si>
  <si>
    <t xml:space="preserve">T-025</t>
  </si>
  <si>
    <t xml:space="preserve">Depoussierage des convecteurs electriques</t>
  </si>
  <si>
    <t xml:space="preserve">Septembre</t>
  </si>
  <si>
    <t xml:space="preserve">Aspirateur, brosse</t>
  </si>
  <si>
    <t xml:space="preserve">Appareil eteint et froid. Aspirer les grilles hautes et basses. Ne jamais poser de linge a secher dessus.</t>
  </si>
  <si>
    <t xml:space="preserve">Odeur de brule a la remise en route, risque d'incendie</t>
  </si>
  <si>
    <t xml:space="preserve">T-026</t>
  </si>
  <si>
    <t xml:space="preserve">Controle et nettoyage de la cuve a fioul</t>
  </si>
  <si>
    <t xml:space="preserve">Tous les 5 a 10 ans</t>
  </si>
  <si>
    <t xml:space="preserve">Cuve presque vide</t>
  </si>
  <si>
    <t xml:space="preserve">Prestataire agree</t>
  </si>
  <si>
    <t xml:space="preserve">Pompage des boues de fond, controle de l'etancheite et de la cuvette de retention, verification de l'event et de la jauge.</t>
  </si>
  <si>
    <t xml:space="preserve">Fuite = depollution des sols a la charge du proprietaire (plusieurs dizaines de milliers d'euros)</t>
  </si>
  <si>
    <t xml:space="preserve">T-027</t>
  </si>
  <si>
    <t xml:space="preserve">Manoeuvre du groupe de securite</t>
  </si>
  <si>
    <t xml:space="preserve">Tourner la manette du groupe de securite en position vidange quelques secondes jusqu'a ce que l'eau coule franchement, puis refermer. Cela evite que le clapet ne se bloque par le calcaire.</t>
  </si>
  <si>
    <t xml:space="preserve">Groupe grippe = surpression et risque d'eclatement du ballon</t>
  </si>
  <si>
    <t xml:space="preserve">T-028</t>
  </si>
  <si>
    <t xml:space="preserve">Detartrage et controle de l'anode magnesium</t>
  </si>
  <si>
    <t xml:space="preserve">Tous les 2 ans (annuel en eau tres dure)</t>
  </si>
  <si>
    <t xml:space="preserve">Hors periode de forte demande</t>
  </si>
  <si>
    <t xml:space="preserve">Plombier</t>
  </si>
  <si>
    <t xml:space="preserve">Vidange du ballon, demontage de la platine, detartrage de la resistance et de la cuve, controle et remplacement de l'anode si elle est consommee a plus de 50%, remplacement du joint de bride.</t>
  </si>
  <si>
    <t xml:space="preserve">Anode consommee = cuve percee et remplacement complet (800 a 1500 EUR)</t>
  </si>
  <si>
    <t xml:space="preserve">T-029</t>
  </si>
  <si>
    <t xml:space="preserve">Reglage de la temperature de consigne</t>
  </si>
  <si>
    <t xml:space="preserve">A la mise en service</t>
  </si>
  <si>
    <t xml:space="preserve">Tournevis</t>
  </si>
  <si>
    <t xml:space="preserve">Regler entre 55 et 60 degres : en dessous, risque de legionelle ; au-dessus, entartrage accelere et brulures.</t>
  </si>
  <si>
    <t xml:space="preserve">Risque sanitaire ou entartrage premature</t>
  </si>
  <si>
    <t xml:space="preserve">T-030</t>
  </si>
  <si>
    <t xml:space="preserve">Entretien biennal du chauffe-eau thermodynamique</t>
  </si>
  <si>
    <t xml:space="preserve">Nettoyage de l'evaporateur et du filtre d'air, controle du circuit frigorifique, de l'anode et des condensats.</t>
  </si>
  <si>
    <t xml:space="preserve">Obligation legale, bascule permanente sur la resistance electrique d'appoint</t>
  </si>
  <si>
    <t xml:space="preserve">T-031</t>
  </si>
  <si>
    <t xml:space="preserve">Nettoyage du filtre a air</t>
  </si>
  <si>
    <t xml:space="preserve">Tous les 3 mois</t>
  </si>
  <si>
    <t xml:space="preserve">Aspirateur, eau tiede</t>
  </si>
  <si>
    <t xml:space="preserve">Retirer le filtre a l'arriere ou au-dessus de l'appareil, aspirer puis rincer, secher avant remontage.</t>
  </si>
  <si>
    <t xml:space="preserve">COP degrade, appareil qui fonctionne en mode electrique pur</t>
  </si>
  <si>
    <t xml:space="preserve">T-032</t>
  </si>
  <si>
    <t xml:space="preserve">Controle du circuit solaire</t>
  </si>
  <si>
    <t xml:space="preserve">Controle du pH et du point de congelation du glycol, de la pression du circuit primaire, de l'etat du vase d'expansion et de la sonde capteur.</t>
  </si>
  <si>
    <t xml:space="preserve">Glycol acidifie = corrosion des capteurs et du ballon</t>
  </si>
  <si>
    <t xml:space="preserve">T-033</t>
  </si>
  <si>
    <t xml:space="preserve">Remplissage du bac a sel</t>
  </si>
  <si>
    <t xml:space="preserve">Sacs de sel pastilles</t>
  </si>
  <si>
    <t xml:space="preserve">Maintenir le niveau de sel au-dessus du niveau d'eau. Verifier l'absence de croute de sel agglomeree au fond : la casser si besoin.</t>
  </si>
  <si>
    <t xml:space="preserve">Pont de sel = adoucisseur inoperant sans alerte</t>
  </si>
  <si>
    <t xml:space="preserve">T-034</t>
  </si>
  <si>
    <t xml:space="preserve">Desinfection de l'adoucisseur et controle de la durete</t>
  </si>
  <si>
    <t xml:space="preserve">Desinfectant pour resine, bandelettes de test</t>
  </si>
  <si>
    <t xml:space="preserve">Lancer un cycle de desinfection selon la notice. Mesurer la durete en sortie avec les bandelettes : viser 8 a 12 degres francais, pas 0.</t>
  </si>
  <si>
    <t xml:space="preserve">Proliferation bacterienne dans la resine, eau trop douce et corrosive pour les canalisations</t>
  </si>
  <si>
    <t xml:space="preserve">T-035</t>
  </si>
  <si>
    <t xml:space="preserve">Nettoyage des bouches d'extraction</t>
  </si>
  <si>
    <t xml:space="preserve">Eau savonneuse, brosse</t>
  </si>
  <si>
    <t xml:space="preserve">Deposer les bouches en les devissant, les faire tremper dans de l'eau chaude savonneuse, brosser, secher. Reperer leur position d'origine : les bouches de cuisine et de salle de bains ne sont pas interchangeables.</t>
  </si>
  <si>
    <t xml:space="preserve">Condensation, moisissures dans les pieces humides</t>
  </si>
  <si>
    <t xml:space="preserve">T-036</t>
  </si>
  <si>
    <t xml:space="preserve">Nettoyage du caisson et controle du moteur</t>
  </si>
  <si>
    <t xml:space="preserve">Hors hiver</t>
  </si>
  <si>
    <t xml:space="preserve">Pro ou particulier bricoleur</t>
  </si>
  <si>
    <t xml:space="preserve">Couper l'alimentation. Depoussierer la turbine et le caisson, controler les fixations et l'etat des gaines souples (ecrasement, percements).</t>
  </si>
  <si>
    <t xml:space="preserve">Turbine desequilibree, bruit, debit effondre</t>
  </si>
  <si>
    <t xml:space="preserve">T-037</t>
  </si>
  <si>
    <t xml:space="preserve">Remplacement des filtres de la VMC double flux</t>
  </si>
  <si>
    <t xml:space="preserve">Tous les 3 a 6 mois</t>
  </si>
  <si>
    <t xml:space="preserve">Jeu de filtres (G4 et F7 en general)</t>
  </si>
  <si>
    <t xml:space="preserve">Couper la centrale. Noter la date au feutre sur le filtre neuf. En zone pollinique ou proche d'un axe routier, passer a 3 mois.</t>
  </si>
  <si>
    <t xml:space="preserve">Filtres satures = debit nul, rendement de recuperation perdu, surconsommation du moteur</t>
  </si>
  <si>
    <t xml:space="preserve">T-038</t>
  </si>
  <si>
    <t xml:space="preserve">Nettoyage de l'echangeur et du bac a condensats</t>
  </si>
  <si>
    <t xml:space="preserve">Ete</t>
  </si>
  <si>
    <t xml:space="preserve">Extraire le bloc echangeur, le rincer a l'eau tiede, le laisser secher. Verifier que le siphon de condensats est amorce et non bouche.</t>
  </si>
  <si>
    <t xml:space="preserve">Echangeur colmate, eau stagnante, odeurs diffusees dans tout le logement</t>
  </si>
  <si>
    <t xml:space="preserve">T-039</t>
  </si>
  <si>
    <t xml:space="preserve">Nettoyage du filtre a graisse de la hotte</t>
  </si>
  <si>
    <t xml:space="preserve">Lave-vaisselle ou eau tres chaude + bicarbonate</t>
  </si>
  <si>
    <t xml:space="preserve">Les filtres metalliques passent au lave-vaisselle en cycle intensif. Bien secher avant remontage.</t>
  </si>
  <si>
    <t xml:space="preserve">Accumulation de graisse = cause frequente de depart de feu en cuisine</t>
  </si>
  <si>
    <t xml:space="preserve">T-040</t>
  </si>
  <si>
    <t xml:space="preserve">Remplacement du filtre a charbon</t>
  </si>
  <si>
    <t xml:space="preserve">Tous les 6 mois (hotte recyclante)</t>
  </si>
  <si>
    <t xml:space="preserve">Filtre a charbon compatible</t>
  </si>
  <si>
    <t xml:space="preserve">Uniquement pour les hottes recyclantes (sans evacuation exterieure). Le charbon ne se lave pas, il se remplace.</t>
  </si>
  <si>
    <t xml:space="preserve">Odeurs de cuisine qui stagnent dans tout le logement</t>
  </si>
  <si>
    <t xml:space="preserve">T-041</t>
  </si>
  <si>
    <t xml:space="preserve">Nettoyage des entrees d'air des fenetres</t>
  </si>
  <si>
    <t xml:space="preserve">Aspirateur, chiffon humide</t>
  </si>
  <si>
    <t xml:space="preserve">Deposer le capot des reglettes en haut des fenetres, aspirer, essuyer. Ne jamais les obturer, meme en hiver.</t>
  </si>
  <si>
    <t xml:space="preserve">Sans air neuf entrant, la VMC n'extrait rien et les appareils a combustion tirent mal</t>
  </si>
  <si>
    <t xml:space="preserve">T-042</t>
  </si>
  <si>
    <t xml:space="preserve">Nettoyage de la grille du condenseur</t>
  </si>
  <si>
    <t xml:space="preserve">Aspirateur avec brosse, goupillon</t>
  </si>
  <si>
    <t xml:space="preserve">Debrancher l'appareil, l'ecarter du mur, aspirer la grille noire a l'arriere ou la grille basse selon le modele. Laisser 5 cm de degagement a l'arriere.</t>
  </si>
  <si>
    <t xml:space="preserve">Condenseur empoussiere = jusqu'a 25% de surconsommation et compresseur en surchauffe</t>
  </si>
  <si>
    <t xml:space="preserve">T-043</t>
  </si>
  <si>
    <t xml:space="preserve">Controle et nettoyage des joints de porte</t>
  </si>
  <si>
    <t xml:space="preserve">Eau savonneuse, coton-tige, feuille de papier</t>
  </si>
  <si>
    <t xml:space="preserve">Nettoyer la gorge du joint au coton-tige. Test : coincer une feuille de papier dans la porte fermee ; si elle glisse sans resistance, le joint est a remplacer.</t>
  </si>
  <si>
    <t xml:space="preserve">Joint use = compresseur en marche permanente, givre, facture d'electricite en hausse</t>
  </si>
  <si>
    <t xml:space="preserve">T-044</t>
  </si>
  <si>
    <t xml:space="preserve">Debouchage de la gouttiere d'evacuation</t>
  </si>
  <si>
    <t xml:space="preserve">Coton-tige, seringue d'eau tiede</t>
  </si>
  <si>
    <t xml:space="preserve">Localiser le petit orifice au fond de la paroi arriere du refrigerateur. Le degager delicatement et rincer a l'eau tiede.</t>
  </si>
  <si>
    <t xml:space="preserve">Eau stagnante dans le bac a legumes, odeurs, moisissures</t>
  </si>
  <si>
    <t xml:space="preserve">T-045</t>
  </si>
  <si>
    <t xml:space="preserve">Degivrage du congelateur</t>
  </si>
  <si>
    <t xml:space="preserve">Tous les ans (ou des 3 mm de givre)</t>
  </si>
  <si>
    <t xml:space="preserve">Janvier ou avant les grosses courses</t>
  </si>
  <si>
    <t xml:space="preserve">Glaciere, serpillieres, bassine</t>
  </si>
  <si>
    <t xml:space="preserve">Transferer les denrees dans une glaciere, debrancher, laisser fondre porte ouverte avec des serpillieres au sol. Ne jamais gratter avec un objet metallique : perforer le circuit condamne l'appareil.</t>
  </si>
  <si>
    <t xml:space="preserve">3 mm de givre = environ 30% de surconsommation</t>
  </si>
  <si>
    <t xml:space="preserve">T-046</t>
  </si>
  <si>
    <t xml:space="preserve">Remplacement du filtre a eau</t>
  </si>
  <si>
    <t xml:space="preserve">Filtre d'origine compatible</t>
  </si>
  <si>
    <t xml:space="preserve">Localiser la cartouche (souvent en bas a droite ou dans le compartiment froid). Purger 2 a 3 litres apres remplacement avant consommation.</t>
  </si>
  <si>
    <t xml:space="preserve">Gout desagreable, developpement bacterien dans le circuit d'eau</t>
  </si>
  <si>
    <t xml:space="preserve">T-047</t>
  </si>
  <si>
    <t xml:space="preserve">Nettoyage du filtre de vidange</t>
  </si>
  <si>
    <t xml:space="preserve">Recipient plat, serpilliere, chiffon</t>
  </si>
  <si>
    <t xml:space="preserve">Ouvrir la trappe en bas de l'appareil, placer un recipient, devisser lentement le bouchon. Retirer pieces, cheveux et peluches. Rincer et revisser fermement.</t>
  </si>
  <si>
    <t xml:space="preserve">Pompe de vidange forcee puis HS, eau stagnante et odeurs</t>
  </si>
  <si>
    <t xml:space="preserve">T-048</t>
  </si>
  <si>
    <t xml:space="preserve">Nettoyage du joint de hublot</t>
  </si>
  <si>
    <t xml:space="preserve">Chiffon, vinaigre blanc ou bicarbonate</t>
  </si>
  <si>
    <t xml:space="preserve">Ecarter le pli du joint sur tout le tour et essuyer. Laisser le hublot entrouvert apres chaque lessive.</t>
  </si>
  <si>
    <t xml:space="preserve">Moisissure noire incrustee, odeur transmise au linge, joint a remplacer</t>
  </si>
  <si>
    <t xml:space="preserve">T-049</t>
  </si>
  <si>
    <t xml:space="preserve">Cycle de detartrage a vide</t>
  </si>
  <si>
    <t xml:space="preserve">Acide citrique (100 g) ou vinaigre blanc (500 ml)</t>
  </si>
  <si>
    <t xml:space="preserve">Machine vide, cycle le plus chaud (90 degres), produit directement dans le tambour. Nettoyer ensuite le bac a lessive a l'eau chaude.</t>
  </si>
  <si>
    <t xml:space="preserve">Resistance entartree = surconsommation puis panne (cause n.1 de mise au rebut)</t>
  </si>
  <si>
    <t xml:space="preserve">T-050</t>
  </si>
  <si>
    <t xml:space="preserve">Remplacement du tuyau d'alimentation</t>
  </si>
  <si>
    <t xml:space="preserve">Tous les 5 ans</t>
  </si>
  <si>
    <t xml:space="preserve">Tuyau neuf avec joints, pince multiprise</t>
  </si>
  <si>
    <t xml:space="preserve">Fermer l'arrivee d'eau, devisser, remplacer joints compris. Prevoir un tuyau aquastop si l'appareil est a l'etage.</t>
  </si>
  <si>
    <t xml:space="preserve">Rupture du tuyau = degat des eaux, premiere cause de sinistre habitation</t>
  </si>
  <si>
    <t xml:space="preserve">T-051</t>
  </si>
  <si>
    <t xml:space="preserve">Nettoyage du filtre a peluches</t>
  </si>
  <si>
    <t xml:space="preserve">A chaque cycle</t>
  </si>
  <si>
    <t xml:space="preserve">Retirer le voile de peluches a la main apres chaque sechage. Rincer le filtre a l'eau une fois par mois pour eliminer le film d'adoucissant.</t>
  </si>
  <si>
    <t xml:space="preserve">Temps de sechage double, surchauffe, risque d'incendie</t>
  </si>
  <si>
    <t xml:space="preserve">T-052</t>
  </si>
  <si>
    <t xml:space="preserve">Nettoyage du condenseur</t>
  </si>
  <si>
    <t xml:space="preserve">Eau courante, brosse souple</t>
  </si>
  <si>
    <t xml:space="preserve">Deverrouiller la trappe basse, extraire le bloc condenseur, le rincer sous le robinet jusqu'a ce que l'eau ressorte claire, secher et remonter.</t>
  </si>
  <si>
    <t xml:space="preserve">Condenseur colmate = cycles interminables et surconsommation massive</t>
  </si>
  <si>
    <t xml:space="preserve">T-053</t>
  </si>
  <si>
    <t xml:space="preserve">Nettoyage du filtre de la pompe a chaleur</t>
  </si>
  <si>
    <t xml:space="preserve">Tous les 3 mois (modeles PAC)</t>
  </si>
  <si>
    <t xml:space="preserve">Filtre fin situe derriere le filtre principal. Aspirer puis rincer. Sur les seche-linge PAC, c'est la piece la plus souvent negligee.</t>
  </si>
  <si>
    <t xml:space="preserve">Evaporateur encrasse = panne du circuit frigorifique, reparation couteuse</t>
  </si>
  <si>
    <t xml:space="preserve">T-054</t>
  </si>
  <si>
    <t xml:space="preserve">Nettoyage du filtre du lave-vaisselle</t>
  </si>
  <si>
    <t xml:space="preserve">Brosse a vaisselle, eau chaude</t>
  </si>
  <si>
    <t xml:space="preserve">Deverrouiller le filtre cylindrique au fond de la cuve, retirer les residus, brosser la grille inox, rincer.</t>
  </si>
  <si>
    <t xml:space="preserve">Vaisselle qui ressort sale, odeurs, pompe bloquee</t>
  </si>
  <si>
    <t xml:space="preserve">T-055</t>
  </si>
  <si>
    <t xml:space="preserve">Debouchage des bras de lavage</t>
  </si>
  <si>
    <t xml:space="preserve">Cure-dent, aiguille</t>
  </si>
  <si>
    <t xml:space="preserve">Deposer les bras (souvent un quart de tour), degager chaque buse avec un cure-dent, rincer, verifier qu'ils tournent librement une fois remontes.</t>
  </si>
  <si>
    <t xml:space="preserve">Buses obstruees = zones non lavees, cycles relances inutilement</t>
  </si>
  <si>
    <t xml:space="preserve">T-056</t>
  </si>
  <si>
    <t xml:space="preserve">Controle du sel regenerant et du liquide de rincage</t>
  </si>
  <si>
    <t xml:space="preserve">Tous les 2 mois</t>
  </si>
  <si>
    <t xml:space="preserve">Sel regenerant specifique, liquide de rincage</t>
  </si>
  <si>
    <t xml:space="preserve">Remplir le reservoir de sel (jamais de sel de table). Regler la durete de l'appareil sur celle de l'eau du reseau, disponible sur la facture d'eau.</t>
  </si>
  <si>
    <t xml:space="preserve">Traces blanches, entartrage de la resistance</t>
  </si>
  <si>
    <t xml:space="preserve">T-057</t>
  </si>
  <si>
    <t xml:space="preserve">Acide citrique ou produit specifique</t>
  </si>
  <si>
    <t xml:space="preserve">Appareil vide, cycle le plus chaud avec le produit dans le panier superieur.</t>
  </si>
  <si>
    <t xml:space="preserve">Resistance entartree, cycles qui n'atteignent plus la temperature</t>
  </si>
  <si>
    <t xml:space="preserve">T-058</t>
  </si>
  <si>
    <t xml:space="preserve">Cycle de pyrolyse</t>
  </si>
  <si>
    <t xml:space="preserve">Aucun (retirer grilles et lechefrite)</t>
  </si>
  <si>
    <t xml:space="preserve">Retirer tous les accessoires non pyrolysables. Ventiler la piece. Sortir les animaux domestiques, en particulier les oiseaux, sensibles aux vapeurs.</t>
  </si>
  <si>
    <t xml:space="preserve">Graisses carbonisees = fumees a chaque cuisson, joint attaque</t>
  </si>
  <si>
    <t xml:space="preserve">T-059</t>
  </si>
  <si>
    <t xml:space="preserve">Controle du joint de porte du four</t>
  </si>
  <si>
    <t xml:space="preserve">Passer le doigt sur tout le pourtour : le joint doit etre souple et sans cassure. Un joint durci se remplace, piece disponible chez le fabricant.</t>
  </si>
  <si>
    <t xml:space="preserve">Perte de chaleur, cuissons irregulieres, surconsommation</t>
  </si>
  <si>
    <t xml:space="preserve">T-060</t>
  </si>
  <si>
    <t xml:space="preserve">Controle de la date de peremption du flexible gaz</t>
  </si>
  <si>
    <t xml:space="preserve">Lire la date imprimee sur la bague du flexible. Remplacer imperativement a echeance, meme si le tuyau parait intact. Privilegier un flexible a duree de vie illimitee avec embouts vissables.</t>
  </si>
  <si>
    <t xml:space="preserve">Fuite de gaz, explosion, non-couverture par l'assurance</t>
  </si>
  <si>
    <t xml:space="preserve">T-061</t>
  </si>
  <si>
    <t xml:space="preserve">Nettoyage des bruleurs et injecteurs</t>
  </si>
  <si>
    <t xml:space="preserve">Brosse metallique fine, aiguille, eau savonneuse</t>
  </si>
  <si>
    <t xml:space="preserve">Deposer chapeaux et couronnes, les faire tremper, degager chaque orifice a l'aiguille. Une flamme doit etre bleue et stable.</t>
  </si>
  <si>
    <t xml:space="preserve">Flamme jaune = combustion incomplete et production de monoxyde de carbone</t>
  </si>
  <si>
    <t xml:space="preserve">T-062</t>
  </si>
  <si>
    <t xml:space="preserve">Detartrage de la machine a cafe</t>
  </si>
  <si>
    <t xml:space="preserve">Tous les 1 a 3 mois selon durete</t>
  </si>
  <si>
    <t xml:space="preserve">Detartrant specifique ou acide citrique</t>
  </si>
  <si>
    <t xml:space="preserve">Lancer le programme de detartrage de l'appareil. En eau dure (au-dela de 25 degres francais), passer a un detartrage mensuel ou installer un filtre.</t>
  </si>
  <si>
    <t xml:space="preserve">Entartrage de la pompe : premiere cause de panne definitive</t>
  </si>
  <si>
    <t xml:space="preserve">T-063</t>
  </si>
  <si>
    <t xml:space="preserve">Nettoyage du groupe d'infusion et du circuit lait</t>
  </si>
  <si>
    <t xml:space="preserve">Hebdomadaire</t>
  </si>
  <si>
    <t xml:space="preserve">Eau tiede, pastilles degraissantes</t>
  </si>
  <si>
    <t xml:space="preserve">Rincer le groupe d'infusion amovible a l'eau claire sans detergent. Nettoyer le circuit lait apres chaque usage, imperativement le jour meme.</t>
  </si>
  <si>
    <t xml:space="preserve">Rancissement du circuit lait, gout altere, contamination</t>
  </si>
  <si>
    <t xml:space="preserve">T-064</t>
  </si>
  <si>
    <t xml:space="preserve">Remplacement du filtre HEPA de l'aspirateur</t>
  </si>
  <si>
    <t xml:space="preserve">Filtre compatible</t>
  </si>
  <si>
    <t xml:space="preserve">Certains filtres sont lavables (rincer, secher 24 h), d'autres se remplacent. Verifier la notice : remonter un filtre humide endommage le moteur.</t>
  </si>
  <si>
    <t xml:space="preserve">Perte d'aspiration, rejet de particules fines, moteur en surchauffe</t>
  </si>
  <si>
    <t xml:space="preserve">T-065</t>
  </si>
  <si>
    <t xml:space="preserve">Entretien des brosses et capteurs du robot</t>
  </si>
  <si>
    <t xml:space="preserve">Peigne coupe-fils, chiffon microfibre sec</t>
  </si>
  <si>
    <t xml:space="preserve">Demonter la brosse centrale et couper les cheveux enroules, nettoyer les brosses laterales, essuyer les capteurs de chute et la lentille de navigation.</t>
  </si>
  <si>
    <t xml:space="preserve">Moteur de brosse force, navigation erratique, chutes dans les escaliers</t>
  </si>
  <si>
    <t xml:space="preserve">T-066</t>
  </si>
  <si>
    <t xml:space="preserve">Detartrage des mousseurs de robinet</t>
  </si>
  <si>
    <t xml:space="preserve">Vinaigre blanc, pince, chiffon</t>
  </si>
  <si>
    <t xml:space="preserve">Devisser l'embout, le faire tremper une nuit dans du vinaigre blanc, rincer, remonter.</t>
  </si>
  <si>
    <t xml:space="preserve">Debit reduit, projections, eclaboussures</t>
  </si>
  <si>
    <t xml:space="preserve">T-067</t>
  </si>
  <si>
    <t xml:space="preserve">Recherche de fuite par releve de compteur</t>
  </si>
  <si>
    <t xml:space="preserve">Fermer tous les points d'eau, relever le compteur, attendre 2 h sans consommation, relever de nouveau. Toute difference signale une fuite. Commencer par les chasses d'eau.</t>
  </si>
  <si>
    <t xml:space="preserve">Une chasse d'eau qui fuit peut representer 200 m3 par an</t>
  </si>
  <si>
    <t xml:space="preserve">T-068</t>
  </si>
  <si>
    <t xml:space="preserve">Controle du disconnecteur</t>
  </si>
  <si>
    <t xml:space="preserve">Pro habilite</t>
  </si>
  <si>
    <t xml:space="preserve">Obligatoire si le reseau d'arrosage ou un recuperateur d'eau de pluie est raccorde au reseau public. Controle du clapet et de la mise a l'air.</t>
  </si>
  <si>
    <t xml:space="preserve">Retour d'eau polluee dans le reseau public : responsabilite civile et penale engagee</t>
  </si>
  <si>
    <t xml:space="preserve">T-069</t>
  </si>
  <si>
    <t xml:space="preserve">Nettoyage du filtre et de la cuve de recuperation</t>
  </si>
  <si>
    <t xml:space="preserve">Tous les 6 mois (filtre) / 12 mois (cuve)</t>
  </si>
  <si>
    <t xml:space="preserve">Brosse, jet d'eau</t>
  </si>
  <si>
    <t xml:space="preserve">Nettoyer le filtre en amont de la cuve, verifier le siphon anti-odeurs et le trop-plein. Tenir a jour le carnet sanitaire si l'eau alimente des WC ou un lave-linge.</t>
  </si>
  <si>
    <t xml:space="preserve">Eau chargee, colmatage de la pompe, non-conformite au controle</t>
  </si>
  <si>
    <t xml:space="preserve">T-070</t>
  </si>
  <si>
    <t xml:space="preserve">Controle de la pompe de relevage</t>
  </si>
  <si>
    <t xml:space="preserve">Seau d'eau</t>
  </si>
  <si>
    <t xml:space="preserve">Verser de l'eau pour declencher le flotteur et verifier le demarrage. Nettoyer la crepine et controler le clapet anti-retour.</t>
  </si>
  <si>
    <t xml:space="preserve">Inondation du sous-sol le jour du premier gros orage</t>
  </si>
  <si>
    <t xml:space="preserve">T-071</t>
  </si>
  <si>
    <t xml:space="preserve">Vidange de la fosse toutes eaux</t>
  </si>
  <si>
    <t xml:space="preserve">Des que les boues atteignent 50% du volume utile (environ 4 ans)</t>
  </si>
  <si>
    <t xml:space="preserve">Hors periode de gel</t>
  </si>
  <si>
    <t xml:space="preserve">Vidangeur agree par le prefet</t>
  </si>
  <si>
    <t xml:space="preserve">Faire mesurer la hauteur de boues. Exiger le bordereau de suivi des matieres de vidange : c'est la piece que le SPANC reclame au controle. Ne jamais faire nettoyer au jet haute pression, cela detruit la flore bacterienne.</t>
  </si>
  <si>
    <t xml:space="preserve">Colmatage de l'epandage, remontees d'eaux usees, non-conformite au controle</t>
  </si>
  <si>
    <t xml:space="preserve">T-072</t>
  </si>
  <si>
    <t xml:space="preserve">Preparation du controle periodique SPANC</t>
  </si>
  <si>
    <t xml:space="preserve">Au moins tous les 10 ans (souvent 4 a 8 selon la commune)</t>
  </si>
  <si>
    <t xml:space="preserve">Sur convocation</t>
  </si>
  <si>
    <t xml:space="preserve">Plan de l'installation, bordereaux de vidange</t>
  </si>
  <si>
    <t xml:space="preserve">Degager les regards et tampons, rassembler le plan, les factures d'entretien et les bordereaux de vidange. Verifier la hauteur de boues avant la visite.</t>
  </si>
  <si>
    <t xml:space="preserve">Avis de non-conformite, travaux imposes sous 4 ans, majoration de redevance</t>
  </si>
  <si>
    <t xml:space="preserve">T-073</t>
  </si>
  <si>
    <t xml:space="preserve">Nettoyage du bac a graisse</t>
  </si>
  <si>
    <t xml:space="preserve">Gants, raclette, sac etanche</t>
  </si>
  <si>
    <t xml:space="preserve">Retirer la croute de graisse en surface, racler les parois, evacuer avec les ordures menageres (jamais dans les canalisations).</t>
  </si>
  <si>
    <t xml:space="preserve">Graisses qui colmatent le pretraitement et l'epandage</t>
  </si>
  <si>
    <t xml:space="preserve">T-074</t>
  </si>
  <si>
    <t xml:space="preserve">Nettoyage du prefiltre</t>
  </si>
  <si>
    <t xml:space="preserve">Jet d'eau, gants</t>
  </si>
  <si>
    <t xml:space="preserve">Sortir les materiaux filtrants (pouzzolane), les rincer au jet au-dessus de la fosse, les remettre en place.</t>
  </si>
  <si>
    <t xml:space="preserve">Prefiltre colmate = passage de matieres vers l'epandage, qui se bouche definitivement</t>
  </si>
  <si>
    <t xml:space="preserve">T-075</t>
  </si>
  <si>
    <t xml:space="preserve">Maintenance annuelle de la micro-station</t>
  </si>
  <si>
    <t xml:space="preserve">Tous les ans (contrat)</t>
  </si>
  <si>
    <t xml:space="preserve">Controle du surpresseur, des diffuseurs d'air, de la recirculation des boues et mesure du taux de boues.</t>
  </si>
  <si>
    <t xml:space="preserve">Arret de la biomasse epuratoire, rejets non conformes, remise en route longue</t>
  </si>
  <si>
    <t xml:space="preserve">T-076</t>
  </si>
  <si>
    <t xml:space="preserve">Controle visuel de l'installation photovoltaique</t>
  </si>
  <si>
    <t xml:space="preserve">Jumelles depuis le sol</t>
  </si>
  <si>
    <t xml:space="preserve">Observer depuis le sol : salissures, fientes, mousses, ombrage nouveau (branche qui a pousse), modules deplaces apres une tempete. Ne jamais monter sur la toiture sans equipement.</t>
  </si>
  <si>
    <t xml:space="preserve">Ombrage partiel = perte disproportionnee sur toute la chaine de modules</t>
  </si>
  <si>
    <t xml:space="preserve">T-077</t>
  </si>
  <si>
    <t xml:space="preserve">Nettoyage des modules</t>
  </si>
  <si>
    <t xml:space="preserve">Tous les 1 a 2 ans</t>
  </si>
  <si>
    <t xml:space="preserve">Printemps, tot le matin</t>
  </si>
  <si>
    <t xml:space="preserve">Prestataire equipe (travail en hauteur)</t>
  </si>
  <si>
    <t xml:space="preserve">Eau demineralisee et brosse douce, jamais de haute pression ni de detergent. Modules froids imperativement, sinon choc thermique.</t>
  </si>
  <si>
    <t xml:space="preserve">Salissures = 5 a 15% de production perdue</t>
  </si>
  <si>
    <t xml:space="preserve">T-078</t>
  </si>
  <si>
    <t xml:space="preserve">Releve mensuel de la production</t>
  </si>
  <si>
    <t xml:space="preserve">Application du monitoring</t>
  </si>
  <si>
    <t xml:space="preserve">Comparer la production du mois a celle du meme mois l'an dernier. Un ecart superieur a 10% signale un probleme (onduleur, string hors service, salissure).</t>
  </si>
  <si>
    <t xml:space="preserve">Sous-production non detectee pendant des mois, perte seche sur la revente</t>
  </si>
  <si>
    <t xml:space="preserve">T-079</t>
  </si>
  <si>
    <t xml:space="preserve">Controle de la borne de recharge</t>
  </si>
  <si>
    <t xml:space="preserve">Pro qualifie IRVE</t>
  </si>
  <si>
    <t xml:space="preserve">Controle du serrage des connexions, de l'etat du cable et de la prise, test du differentiel dedie, verification de la mise a la terre.</t>
  </si>
  <si>
    <t xml:space="preserve">Echauffement des contacts, declenchements repetes, risque d'incendie</t>
  </si>
  <si>
    <t xml:space="preserve">T-080</t>
  </si>
  <si>
    <t xml:space="preserve">Test des interrupteurs differentiels</t>
  </si>
  <si>
    <t xml:space="preserve">Appuyer sur le bouton Test de chaque differentiel : il doit declencher immediatement. Reenclencher. Prevenir les occupants avant (coupure des appareils).</t>
  </si>
  <si>
    <t xml:space="preserve">Un differentiel grippe ne protege plus contre l'electrocution</t>
  </si>
  <si>
    <t xml:space="preserve">T-081</t>
  </si>
  <si>
    <t xml:space="preserve">Demarrage de maintien du groupe electrogene</t>
  </si>
  <si>
    <t xml:space="preserve">Carburant stabilise</t>
  </si>
  <si>
    <t xml:space="preserve">Faire tourner 15 minutes en charge. Vidanger le carburant ou utiliser un stabilisant si l'appareil reste inutilise plus de 3 mois.</t>
  </si>
  <si>
    <t xml:space="preserve">Carburateur encrasse : refus de demarrage le jour ou on en a besoin</t>
  </si>
  <si>
    <t xml:space="preserve">T-082</t>
  </si>
  <si>
    <t xml:space="preserve">Test du detecteur de fumee</t>
  </si>
  <si>
    <t xml:space="preserve">Appuyer sur le bouton test jusqu'au signal sonore. Depoussierer la grille a l'aspirateur tous les 6 mois.</t>
  </si>
  <si>
    <t xml:space="preserve">Un detecteur muet est un detecteur inutile</t>
  </si>
  <si>
    <t xml:space="preserve">T-083</t>
  </si>
  <si>
    <t xml:space="preserve">Remplacement du detecteur de fumee (10 ans apres fabrication)</t>
  </si>
  <si>
    <t xml:space="preserve">10 ans apres la date de fabrication imprimee au dos</t>
  </si>
  <si>
    <t xml:space="preserve">Selon echeance</t>
  </si>
  <si>
    <t xml:space="preserve">Detecteur neuf certifie NF EN 14604</t>
  </si>
  <si>
    <t xml:space="preserve">Remplacer l'appareil complet 10 ans apres sa date de fabrication, ou des qu'il signale sa fin de vie. Les modeles recents ont une pile scellee de 10 ans : rien a changer entre-temps. Sur un ancien modele a pile remplacable, changer la pile chaque annee.</t>
  </si>
  <si>
    <t xml:space="preserve">Detecteur hors service sans que personne ne s'en apercoive</t>
  </si>
  <si>
    <t xml:space="preserve">T-084</t>
  </si>
  <si>
    <t xml:space="preserve">Test du detecteur de monoxyde de carbone</t>
  </si>
  <si>
    <t xml:space="preserve">Bouton test mensuel. Positionner l'appareil a hauteur de respiration, dans la piece ou se trouve l'appareil a combustion, a 1 a 3 m de celui-ci.</t>
  </si>
  <si>
    <t xml:space="preserve">Le CO est inodore et incolore : sans detecteur, aucun signe avant-coureur</t>
  </si>
  <si>
    <t xml:space="preserve">T-085</t>
  </si>
  <si>
    <t xml:space="preserve">Test de l'alarme et remplacement des piles</t>
  </si>
  <si>
    <t xml:space="preserve">Test mensuel / piles annuelles</t>
  </si>
  <si>
    <t xml:space="preserve">Piles lithium des detecteurs</t>
  </si>
  <si>
    <t xml:space="preserve">Passer en mode test, declencher chaque detecteur un par un, verifier la transmission vers la centrale et la sirene.</t>
  </si>
  <si>
    <t xml:space="preserve">Detecteur muet ou fausses alarmes a repetition</t>
  </si>
  <si>
    <t xml:space="preserve">T-086</t>
  </si>
  <si>
    <t xml:space="preserve">Visite d'entretien de l'ascenseur</t>
  </si>
  <si>
    <t xml:space="preserve">Toutes les 6 semaines au maximum</t>
  </si>
  <si>
    <t xml:space="preserve">Ascensoriste sous contrat</t>
  </si>
  <si>
    <t xml:space="preserve">Obligation legale : contrat d'entretien et visite toutes les 6 semaines. Le carnet d'entretien doit etre tenu a jour et conservable.</t>
  </si>
  <si>
    <t xml:space="preserve">T-087</t>
  </si>
  <si>
    <t xml:space="preserve">Controle technique quinquennal</t>
  </si>
  <si>
    <t xml:space="preserve">Organisme de controle agree</t>
  </si>
  <si>
    <t xml:space="preserve">Controle independant de l'installation et de l'etat de securite. Rapport a conserver et a annexer au carnet d'entretien.</t>
  </si>
  <si>
    <t xml:space="preserve">Non-conformite, mise a l'arret de l'appareil</t>
  </si>
  <si>
    <t xml:space="preserve">T-088</t>
  </si>
  <si>
    <t xml:space="preserve">Graissage et test des securites du portail</t>
  </si>
  <si>
    <t xml:space="preserve">Graisse silicone, chiffon</t>
  </si>
  <si>
    <t xml:space="preserve">Nettoyer le rail ou les gonds, graisser les articulations. Tester l'anti-ecrasement en interposant un obstacle souple : le portail doit s'arreter et repartir en arriere.</t>
  </si>
  <si>
    <t xml:space="preserve">Cellules desalignees ou anti-ecrasement HS : risque d'accident grave, notamment pour un enfant</t>
  </si>
  <si>
    <t xml:space="preserve">T-089</t>
  </si>
  <si>
    <t xml:space="preserve">Nettoyage des cellules photoelectriques</t>
  </si>
  <si>
    <t xml:space="preserve">Chiffon microfibre</t>
  </si>
  <si>
    <t xml:space="preserve">Essuyer les deux lentilles, verifier l'alignement (voyant fixe) et l'absence de vegetation devant le faisceau.</t>
  </si>
  <si>
    <t xml:space="preserve">Portail qui refuse de se fermer ou se ferme sur un obstacle</t>
  </si>
  <si>
    <t xml:space="preserve">T-090</t>
  </si>
  <si>
    <t xml:space="preserve">Controle des ressorts et du cable de la porte de garage</t>
  </si>
  <si>
    <t xml:space="preserve">Lampe torche</t>
  </si>
  <si>
    <t xml:space="preserve">Inspecter visuellement les ressorts, cables et galets. En cas de fil casse ou de ressort detendu, ne pas intervenir soi-meme : la tension est mortelle.</t>
  </si>
  <si>
    <t xml:space="preserve">Rupture de ressort, chute brutale du tablier</t>
  </si>
  <si>
    <t xml:space="preserve">T-091</t>
  </si>
  <si>
    <t xml:space="preserve">Nettoyage et lubrification des volets roulants</t>
  </si>
  <si>
    <t xml:space="preserve">Aspirateur fin, lubrifiant silicone</t>
  </si>
  <si>
    <t xml:space="preserve">Aspirer les coulisses, pulveriser du silicone (jamais de graisse qui attire la poussiere), manoeuvrer plusieurs fois.</t>
  </si>
  <si>
    <t xml:space="preserve">Lames coincees, moteur force puis grille</t>
  </si>
  <si>
    <t xml:space="preserve">T-092</t>
  </si>
  <si>
    <t xml:space="preserve">Entretien des joints et de la quincaillerie des fenetres</t>
  </si>
  <si>
    <t xml:space="preserve">Silicone, graisse pour quincaillerie, tournevis</t>
  </si>
  <si>
    <t xml:space="preserve">Nettoyer les joints et les nourrir au silicone. Graisser gaches et cremones. Regler la compression avec les excentriques si un courant d'air se fait sentir.</t>
  </si>
  <si>
    <t xml:space="preserve">Infiltrations, deperdition thermique, ferrure desaxee</t>
  </si>
  <si>
    <t xml:space="preserve">T-093</t>
  </si>
  <si>
    <t xml:space="preserve">Controle du dispositif de securite reglementaire</t>
  </si>
  <si>
    <t xml:space="preserve">Verifier le bon etat et le fonctionnement du dispositif retenu (barriere, alarme, couverture ou abri) et conserver l'attestation de conformite.</t>
  </si>
  <si>
    <t xml:space="preserve">Amende jusqu'a 45 000 EUR et, surtout, risque de noyade</t>
  </si>
  <si>
    <t xml:space="preserve">T-094</t>
  </si>
  <si>
    <t xml:space="preserve">Contre-lavage du filtre a sable</t>
  </si>
  <si>
    <t xml:space="preserve">Mai a septembre</t>
  </si>
  <si>
    <t xml:space="preserve">Aucun (vanne 6 voies)</t>
  </si>
  <si>
    <t xml:space="preserve">Pompe a l'arret, vanne sur Backwash, relancer 2 minutes jusqu'a ce que l'eau du voyant soit claire, puis Rinse 30 secondes, puis retour en Filtration. Faire l'appoint d'eau ensuite.</t>
  </si>
  <si>
    <t xml:space="preserve">Filtre colmate = pression qui monte, filtration inefficace, eau trouble</t>
  </si>
  <si>
    <t xml:space="preserve">T-095</t>
  </si>
  <si>
    <t xml:space="preserve">Remplacement du sable du filtre</t>
  </si>
  <si>
    <t xml:space="preserve">Tous les 5 a 7 ans</t>
  </si>
  <si>
    <t xml:space="preserve">Sable de silice calibre ou verre filtrant</t>
  </si>
  <si>
    <t xml:space="preserve">Vidange du filtre, evacuation du sable agglomere, remplissage neuf en respectant la granulometrie et le volume prevus par le constructeur.</t>
  </si>
  <si>
    <t xml:space="preserve">Sable agglomere en blocs = filtration nulle malgre des contre-lavages</t>
  </si>
  <si>
    <t xml:space="preserve">T-096</t>
  </si>
  <si>
    <t xml:space="preserve">Nettoyage du prefiltre de pompe</t>
  </si>
  <si>
    <t xml:space="preserve">Couper la pompe, fermer les vannes, ouvrir le couvercle transparent, vider le panier des feuilles et insectes, rincer, refermer sans trop serrer.</t>
  </si>
  <si>
    <t xml:space="preserve">Pompe desamorcee puis joint de turbine grille</t>
  </si>
  <si>
    <t xml:space="preserve">T-097</t>
  </si>
  <si>
    <t xml:space="preserve">Hivernage de la filtration</t>
  </si>
  <si>
    <t xml:space="preserve">Novembre (eau sous 12 degres)</t>
  </si>
  <si>
    <t xml:space="preserve">Bouchons d'hivernage, gizzmo, flotteurs, produit d'hivernage</t>
  </si>
  <si>
    <t xml:space="preserve">Baisser le niveau sous les buses, vidanger integralement pompe et filtre, poser les bouchons, proteger le skimmer avec un gizzmo, ajouter le produit d'hivernage.</t>
  </si>
  <si>
    <t xml:space="preserve">Gel = pompe et filtre fendus, plusieurs centaines d'euros de remplacement</t>
  </si>
  <si>
    <t xml:space="preserve">T-098</t>
  </si>
  <si>
    <t xml:space="preserve">Remise en service au printemps</t>
  </si>
  <si>
    <t xml:space="preserve">Mars a avril (eau sous 15 degres)</t>
  </si>
  <si>
    <t xml:space="preserve">Produits de traitement, epuisette, kit de test</t>
  </si>
  <si>
    <t xml:space="preserve">Retirer les bouchons, remonter le niveau, nettoyer le bassin, analyser l'eau, ajuster pH puis desinfectant, filtrer en continu 24 a 48 h.</t>
  </si>
  <si>
    <t xml:space="preserve">Demarrage trop tardif = eau verte et traitement de choc coûteux</t>
  </si>
  <si>
    <t xml:space="preserve">T-099</t>
  </si>
  <si>
    <t xml:space="preserve">Controle et detartrage de la cellule d'electrolyse</t>
  </si>
  <si>
    <t xml:space="preserve">Mensuel (controle) / annuel (detartrage)</t>
  </si>
  <si>
    <t xml:space="preserve">Vinaigre blanc ou acide dilue, gants</t>
  </si>
  <si>
    <t xml:space="preserve">Inspecter les plaques par transparence. Si le calcaire est visible, tremper la cellule dans une solution de detartrage, rincer abondamment a l'eau claire.</t>
  </si>
  <si>
    <t xml:space="preserve">Cellule entartree = production de chlore nulle et eau qui verdit en 48 h</t>
  </si>
  <si>
    <t xml:space="preserve">T-100</t>
  </si>
  <si>
    <t xml:space="preserve">Test de l'alarme de piscine</t>
  </si>
  <si>
    <t xml:space="preserve">Declencher volontairement le detecteur et verifier la sirene. Remplacer la pile chaque annee. C'est un equipement reglementaire, pas un accessoire.</t>
  </si>
  <si>
    <t xml:space="preserve">Dispositif de securite obligatoire inoperant : responsabilite penale engagee</t>
  </si>
  <si>
    <t xml:space="preserve">T-101</t>
  </si>
  <si>
    <t xml:space="preserve">Nettoyage des filtres et vidange du spa</t>
  </si>
  <si>
    <t xml:space="preserve">Filtres mensuels / vidange trimestrielle</t>
  </si>
  <si>
    <t xml:space="preserve">Filtre de rechange, nettoyant de canalisations</t>
  </si>
  <si>
    <t xml:space="preserve">Rincer les cartouches chaque mois et les faire tremper dans un degraissant. Vidanger tous les 3 mois en purgeant les canalisations avec un produit anti-biofilm.</t>
  </si>
  <si>
    <t xml:space="preserve">Biofilm dans les canalisations, risque de legionelle</t>
  </si>
  <si>
    <t xml:space="preserve">T-102</t>
  </si>
  <si>
    <t xml:space="preserve">Revision annuelle de la tondeuse thermique</t>
  </si>
  <si>
    <t xml:space="preserve">Mars, avant la saison</t>
  </si>
  <si>
    <t xml:space="preserve">Huile moteur, bougie, filtre a air, lime</t>
  </si>
  <si>
    <t xml:space="preserve">Vidanger l'huile moteur a chaud, remplacer la bougie et le filtre a air, affuter et equilibrer la lame, nettoyer le carter.</t>
  </si>
  <si>
    <t xml:space="preserve">Moteur grippe, lame emoussee qui arrache l'herbe au lieu de la couper</t>
  </si>
  <si>
    <t xml:space="preserve">T-103</t>
  </si>
  <si>
    <t xml:space="preserve">Preparation a l'hivernage</t>
  </si>
  <si>
    <t xml:space="preserve">Stabilisant carburant</t>
  </si>
  <si>
    <t xml:space="preserve">Vider le reservoir ou ajouter un stabilisant, faire tourner jusqu'a la panne seche, nettoyer le carter, stocker au sec.</t>
  </si>
  <si>
    <t xml:space="preserve">Carburateur encrasse par le carburant vieilli : refus de demarrage au printemps</t>
  </si>
  <si>
    <t xml:space="preserve">T-104</t>
  </si>
  <si>
    <t xml:space="preserve">Remplacement des lames du robot tondeuse</t>
  </si>
  <si>
    <t xml:space="preserve">Tous les 2 a 3 mois</t>
  </si>
  <si>
    <t xml:space="preserve">Mars a octobre</t>
  </si>
  <si>
    <t xml:space="preserve">Jeu de lames et vis d'origine</t>
  </si>
  <si>
    <t xml:space="preserve">Retourner le robot, devisser les lames, les remplacer toutes en meme temps pour preserver l'equilibrage. Nettoyer le chassis a la brosse, jamais au jet.</t>
  </si>
  <si>
    <t xml:space="preserve">Lames emoussees = herbe dechiree, pelouse jaunissante, surconsommation</t>
  </si>
  <si>
    <t xml:space="preserve">T-105</t>
  </si>
  <si>
    <t xml:space="preserve">Hivernage du nettoyeur haute pression</t>
  </si>
  <si>
    <t xml:space="preserve">Antigel pour pompe</t>
  </si>
  <si>
    <t xml:space="preserve">Purger toute l'eau de la pompe et du flexible, aspirer un peu d'antigel, stocker hors gel.</t>
  </si>
  <si>
    <t xml:space="preserve">Corps de pompe fendu par le gel : appareil bon pour la casse</t>
  </si>
  <si>
    <t xml:space="preserve">T-106</t>
  </si>
  <si>
    <t xml:space="preserve">Purge hivernale de l'arrosage automatique</t>
  </si>
  <si>
    <t xml:space="preserve">Compresseur ou vannes de purge</t>
  </si>
  <si>
    <t xml:space="preserve">Couper l'alimentation, ouvrir les purges de point bas, souffler les reseaux a l'air comprime si l'installation le permet, rentrer le programmateur.</t>
  </si>
  <si>
    <t xml:space="preserve">Canalisations et electrovannes eclatees par le gel</t>
  </si>
  <si>
    <t xml:space="preserve">T-107</t>
  </si>
  <si>
    <t xml:space="preserve">Controle de printemps des goutteurs et arroseurs</t>
  </si>
  <si>
    <t xml:space="preserve">Mars a avril</t>
  </si>
  <si>
    <t xml:space="preserve">Remettre en eau progressivement, faire tourner chaque zone, reperer goutteurs bouches, tuyeres desaxees et fuites, reprogrammer selon la saison.</t>
  </si>
  <si>
    <t xml:space="preserve">Zones non arrosees et gaspillage d'eau ailleurs</t>
  </si>
  <si>
    <t xml:space="preserve">T-108</t>
  </si>
  <si>
    <t xml:space="preserve">Controle du flexible et des bruleurs du barbecue gaz</t>
  </si>
  <si>
    <t xml:space="preserve">Avril</t>
  </si>
  <si>
    <t xml:space="preserve">Verifier la date du flexible. Test de fuite : badigeonner les raccords d'eau savonneuse, des bulles signalent une fuite. Degager les orifices des bruleurs.</t>
  </si>
  <si>
    <t xml:space="preserve">T-109</t>
  </si>
  <si>
    <t xml:space="preserve">Nettoyage des gouttieres</t>
  </si>
  <si>
    <t xml:space="preserve">2 fois par an</t>
  </si>
  <si>
    <t xml:space="preserve">Novembre (apres la chute des feuilles) et avril</t>
  </si>
  <si>
    <t xml:space="preserve">Echelle stabilisee, gants, seau, jet d'eau</t>
  </si>
  <si>
    <t xml:space="preserve">Retirer feuilles et mousses, rincer vers les descentes, verifier l'ecoulement et l'etat des crochets. Travail en hauteur : ne jamais operer seul.</t>
  </si>
  <si>
    <t xml:space="preserve">Debordement le long des murs, humidite en pied de facade, gel qui deforme les chenaux</t>
  </si>
  <si>
    <t xml:space="preserve">T-110</t>
  </si>
  <si>
    <t xml:space="preserve">Controle visuel de la toiture</t>
  </si>
  <si>
    <t xml:space="preserve">Apres les tempetes d'automne</t>
  </si>
  <si>
    <t xml:space="preserve">Jumelles</t>
  </si>
  <si>
    <t xml:space="preserve">Observer depuis le sol ou une fenetre en vis-a-vis : tuiles deplacees ou cassees, faitage, solins de cheminee, mousses. Ne jamais monter sur le toit sans securisation.</t>
  </si>
  <si>
    <t xml:space="preserve">Une tuile deplacee non vue = infiltration lente, charpente et isolant a reprendre</t>
  </si>
  <si>
    <t xml:space="preserve">T-111</t>
  </si>
  <si>
    <t xml:space="preserve">Demoussage et traitement de la couverture</t>
  </si>
  <si>
    <t xml:space="preserve">Entreprise de couverture</t>
  </si>
  <si>
    <t xml:space="preserve">Demoussage, traitement anti-mousse puis hydrofuge selon l'exposition. Verifier que l'entreprise est assuree pour le travail en hauteur.</t>
  </si>
  <si>
    <t xml:space="preserve">Mousses retenant l'humidite, tuiles gelives qui eclatent</t>
  </si>
  <si>
    <t xml:space="preserve">T-112</t>
  </si>
  <si>
    <t xml:space="preserve">Nettoyage et saturateur de la terrasse bois</t>
  </si>
  <si>
    <t xml:space="preserve">Avril a mai</t>
  </si>
  <si>
    <t xml:space="preserve">Degriseur, saturateur, brosse, pinceau</t>
  </si>
  <si>
    <t xml:space="preserve">Nettoyer au degriseur, rincer, laisser secher 48 h, appliquer le saturateur dans le sens des fibres. Jamais de nettoyeur haute pression, qui ouvre le bois.</t>
  </si>
  <si>
    <t xml:space="preserve">Grisaillement, echardes, lames qui se fendent et doivent etre remplacees</t>
  </si>
  <si>
    <t xml:space="preserve">T-113</t>
  </si>
  <si>
    <t xml:space="preserve">Controle termites et insectes xylophages</t>
  </si>
  <si>
    <t xml:space="preserve">Tous les 3 a 5 ans</t>
  </si>
  <si>
    <t xml:space="preserve">Diagnostiqueur ou entreprise de traitement</t>
  </si>
  <si>
    <t xml:space="preserve">Inspection de la charpente, des bois en contact avec la maconnerie et des points d'humidite. Obligatoire au titre du diagnostic termites a la vente dans les zones classees par arrete prefectoral.</t>
  </si>
  <si>
    <t xml:space="preserve">Attaque detectee trop tard = reprise structurelle tres lourde</t>
  </si>
  <si>
    <t xml:space="preserve">T-114</t>
  </si>
  <si>
    <t xml:space="preserve">Controle des combles</t>
  </si>
  <si>
    <t xml:space="preserve">Automne</t>
  </si>
  <si>
    <t xml:space="preserve">Chercher traces d'humidite, isolant tasse ou deplace, dejections de rongeurs, jour visible au travers de la couverture.</t>
  </si>
  <si>
    <t xml:space="preserve">Isolant humide ou tasse : performance divisee par deux sans signe visible depuis l'interieur</t>
  </si>
  <si>
    <t xml:space="preserve">T-115</t>
  </si>
  <si>
    <t xml:space="preserve">Controle de l'humidite du sous-sol</t>
  </si>
  <si>
    <t xml:space="preserve">Hygrometre</t>
  </si>
  <si>
    <t xml:space="preserve">Mesurer l'hygrometrie, chercher salpetre, auréoles et odeur de moisi, verifier que les aerations basses ne sont pas obstruees.</t>
  </si>
  <si>
    <t xml:space="preserve">Remontees capillaires, planchers bois degrades, air vicie diffuse vers le logement</t>
  </si>
  <si>
    <t xml:space="preserve">T-116</t>
  </si>
  <si>
    <t xml:space="preserve">Archivage des attestations et factures d'entretien</t>
  </si>
  <si>
    <t xml:space="preserve">Decembre</t>
  </si>
  <si>
    <t xml:space="preserve">Scanner ou smartphone</t>
  </si>
  <si>
    <t xml:space="preserve">Numeriser attestations de chaudiere, certificats de ramonage, bordereaux de vidange, rapports de controle. Conserver au moins 5 ans : c'est ce que l'assureur reclame apres un sinistre.</t>
  </si>
  <si>
    <t xml:space="preserve">Sans justificatif, l'assureur peut reduire ou refuser l'indemnisation</t>
  </si>
  <si>
    <t xml:space="preserve">T-117</t>
  </si>
  <si>
    <t xml:space="preserve">Clipser la facade, retirer les filtres, laver a l'eau tiede, secher completement a l'ombre. Un filtre remonte humide devient un nid a moisissures.</t>
  </si>
  <si>
    <t xml:space="preserve">Debit reduit, odeurs, allergenes rediffuses dans le logement</t>
  </si>
  <si>
    <t xml:space="preserve">T-118</t>
  </si>
  <si>
    <t xml:space="preserve">Entretien biennal du split</t>
  </si>
  <si>
    <t xml:space="preserve">Avril, avant la saison</t>
  </si>
  <si>
    <t xml:space="preserve">Controle d'etancheite du circuit, desinfection de l'echangeur et du bac a condensats, controle des pressions et du serrage electrique.</t>
  </si>
  <si>
    <t xml:space="preserve">Obligation legale ; fuite de fluide frigorigene a fort pouvoir rechauffant</t>
  </si>
  <si>
    <t xml:space="preserve">T-119</t>
  </si>
  <si>
    <t xml:space="preserve">Debouchage de l'evacuation des condensats</t>
  </si>
  <si>
    <t xml:space="preserve">Souffleur, eau claire</t>
  </si>
  <si>
    <t xml:space="preserve">Verifier que le tuyau de condensats s'ecoule librement. Un bouchon d'algues provoque un debordement dans le mur.</t>
  </si>
  <si>
    <t xml:space="preserve">Degat des eaux derriere l'unite interieure, taches au plafond de l'etage inferieur</t>
  </si>
  <si>
    <t xml:space="preserve">T-120</t>
  </si>
  <si>
    <t xml:space="preserve">Nettoyage du filtre et du bac du climatiseur mobile</t>
  </si>
  <si>
    <t xml:space="preserve">Tous les mois en usage</t>
  </si>
  <si>
    <t xml:space="preserve">Juin a septembre</t>
  </si>
  <si>
    <t xml:space="preserve">Eau tiede</t>
  </si>
  <si>
    <t xml:space="preserve">Rincer le filtre, vider le bac de condensats, verifier que la gaine d'evacuation n'est pas pliee.</t>
  </si>
  <si>
    <t xml:space="preserve">Eau stagnante, odeurs, rendement de refroidissement divise</t>
  </si>
  <si>
    <t xml:space="preserve">T-121</t>
  </si>
  <si>
    <t xml:space="preserve">Controle annuel d'etancheite du circuit frigorifique</t>
  </si>
  <si>
    <t xml:space="preserve">Operateur certifie, detecteur de fuite</t>
  </si>
  <si>
    <t xml:space="preserve">Controle obligatoire des 5 t CO2 eq de charge. Le professionnel renseigne la fiche d'intervention CERFA 15497.</t>
  </si>
  <si>
    <t xml:space="preserve">Sanction administrative ; une fuite de R410A equivaut a plusieurs tonnes de CO2</t>
  </si>
  <si>
    <t xml:space="preserve">T-122</t>
  </si>
  <si>
    <t xml:space="preserve">Entretien biennal de la PAC geothermique</t>
  </si>
  <si>
    <t xml:space="preserve">Pro qualifie geothermie</t>
  </si>
  <si>
    <t xml:space="preserve">Controle du circuit de captage, de la pression et du taux de glycol, des echangeurs et du circulateur.</t>
  </si>
  <si>
    <t xml:space="preserve">Obligation legale ; deperdition du champ de captage difficile a diagnostiquer tardivement</t>
  </si>
  <si>
    <t xml:space="preserve">T-123</t>
  </si>
  <si>
    <t xml:space="preserve">Controle du collecteur de plancher chauffant</t>
  </si>
  <si>
    <t xml:space="preserve">Cle de purge, chiffon</t>
  </si>
  <si>
    <t xml:space="preserve">Purger le collecteur, verifier les debitmetres boucle par boucle et l'absence de suintement aux raccords.</t>
  </si>
  <si>
    <t xml:space="preserve">Boucles desequilibrees, zones froides, colmatage progressif</t>
  </si>
  <si>
    <t xml:space="preserve">T-124</t>
  </si>
  <si>
    <t xml:space="preserve">Controle periodique de la citerne GPL</t>
  </si>
  <si>
    <t xml:space="preserve">Selon le contrat de fourniture</t>
  </si>
  <si>
    <t xml:space="preserve">Le controle est assure par le distributeur dans le cadre du contrat. Verifier que l'echeance figure bien au contrat et relancer si le passage n'a pas lieu.</t>
  </si>
  <si>
    <t xml:space="preserve">Risque d'explosion ; resiliation possible du contrat de fourniture</t>
  </si>
  <si>
    <t xml:space="preserve">T-125</t>
  </si>
  <si>
    <t xml:space="preserve">Remplacement des piles du thermostat</t>
  </si>
  <si>
    <t xml:space="preserve">Piles alcalines</t>
  </si>
  <si>
    <t xml:space="preserve">Remplacer avant la saison de chauffe. Sur thermostat connecte, verifier aussi la liaison avec la chaudiere apres remplacement.</t>
  </si>
  <si>
    <t xml:space="preserve">Perte de liaison = chaudiere qui tourne en continu ou reste eteinte</t>
  </si>
  <si>
    <t xml:space="preserve">T-126</t>
  </si>
  <si>
    <t xml:space="preserve">Entretien annuel du chauffe-eau gaz</t>
  </si>
  <si>
    <t xml:space="preserve">Pro qualifie PG</t>
  </si>
  <si>
    <t xml:space="preserve">Nettoyage du bruleur et du corps de chauffe, controle du tirage et de l'evacuation des fumees, mesure du taux de CO.</t>
  </si>
  <si>
    <t xml:space="preserve">Intoxication au monoxyde de carbone</t>
  </si>
  <si>
    <t xml:space="preserve">T-127</t>
  </si>
  <si>
    <t xml:space="preserve">Remplacement du groupe de securite</t>
  </si>
  <si>
    <t xml:space="preserve">Groupe de securite neuf, plombier</t>
  </si>
  <si>
    <t xml:space="preserve">Piece d'usure a remplacer preventivement, meme si elle fonctionne encore. A coupler avec le detartrage du ballon.</t>
  </si>
  <si>
    <t xml:space="preserve">Clapet grippe = surpression et risque d'eclatement du ballon</t>
  </si>
  <si>
    <t xml:space="preserve">T-128</t>
  </si>
  <si>
    <t xml:space="preserve">Controle du puits canadien</t>
  </si>
  <si>
    <t xml:space="preserve">Pro ou particulier equipe</t>
  </si>
  <si>
    <t xml:space="preserve">Verifier l'evacuation des condensats, nettoyer le filtre de la borne de prise d'air et controler l'absence d'eau stagnante dans le conduit.</t>
  </si>
  <si>
    <t xml:space="preserve">Eau stagnante = developpement microbien diffuse dans tout le logement</t>
  </si>
  <si>
    <t xml:space="preserve">T-129</t>
  </si>
  <si>
    <t xml:space="preserve">Remplacement du filtre a charbon de la cave a vin</t>
  </si>
  <si>
    <t xml:space="preserve">Le filtre assure le renouvellement d'air sans transmettre d'odeurs. Nettoyer egalement le bac de recuperation d'eau.</t>
  </si>
  <si>
    <t xml:space="preserve">Hygrometrie instable, odeurs transmises aux bouchons</t>
  </si>
  <si>
    <t xml:space="preserve">T-130</t>
  </si>
  <si>
    <t xml:space="preserve">Entretien combine du lave-linge sechant</t>
  </si>
  <si>
    <t xml:space="preserve">Trimestriel</t>
  </si>
  <si>
    <t xml:space="preserve">Brosse, acide citrique</t>
  </si>
  <si>
    <t xml:space="preserve">Cumuler les gestes du lave-linge et du seche-linge : filtre de vidange, joint de hublot, condenseur et detartrage.</t>
  </si>
  <si>
    <t xml:space="preserve">Usure acceleree, cycles de sechage interminables</t>
  </si>
  <si>
    <t xml:space="preserve">T-131</t>
  </si>
  <si>
    <t xml:space="preserve">Nettoyage de la ventilation de la plaque a induction</t>
  </si>
  <si>
    <t xml:space="preserve">Aspirateur a embout fin</t>
  </si>
  <si>
    <t xml:space="preserve">Aspirer la grille de ventilation sous le plan de travail ou en facade de meuble. L'electronique d'induction chauffe et doit respirer.</t>
  </si>
  <si>
    <t xml:space="preserve">Surchauffe de l'electronique, coupures en cours de cuisson, carte a remplacer</t>
  </si>
  <si>
    <t xml:space="preserve">T-132</t>
  </si>
  <si>
    <t xml:space="preserve">Controle du joint de porte du micro-ondes</t>
  </si>
  <si>
    <t xml:space="preserve">Inspecter le pourtour de la porte et la grille : ni deformation, ni corrosion, ni jeu a la fermeture.</t>
  </si>
  <si>
    <t xml:space="preserve">Fuite de micro-ondes si le joint ou la charniere est abime</t>
  </si>
  <si>
    <t xml:space="preserve">T-133</t>
  </si>
  <si>
    <t xml:space="preserve">Remplacement des filtres du purificateur d'air</t>
  </si>
  <si>
    <t xml:space="preserve">Tous les 6 a 12 mois</t>
  </si>
  <si>
    <t xml:space="preserve">Jeu de filtres d'origine</t>
  </si>
  <si>
    <t xml:space="preserve">Noter la date au feutre sur le filtre neuf. Le prefiltre lavable se rince tous les mois, le HEPA se remplace.</t>
  </si>
  <si>
    <t xml:space="preserve">Filtre sature = rejet des particules accumulees dans la piece</t>
  </si>
  <si>
    <t xml:space="preserve">T-134</t>
  </si>
  <si>
    <t xml:space="preserve">Nettoyage du reservoir et du filtre du deshumidificateur</t>
  </si>
  <si>
    <t xml:space="preserve">Eau savonneuse</t>
  </si>
  <si>
    <t xml:space="preserve">Vider et laver le reservoir, rincer le filtre a l'entree d'air, verifier que la sonde d'hygrometrie n'est pas encrassee.</t>
  </si>
  <si>
    <t xml:space="preserve">Developpement bacterien dans le bac, air rejete vicie</t>
  </si>
  <si>
    <t xml:space="preserve">T-135</t>
  </si>
  <si>
    <t xml:space="preserve">Detartrage de la centrale vapeur</t>
  </si>
  <si>
    <t xml:space="preserve">Eau demineralisee, detartrant</t>
  </si>
  <si>
    <t xml:space="preserve">Lancer le cycle de rincage de la chaudiere prevu par le fabricant. Utiliser de l'eau demineralisee si l'eau du reseau depasse 25 degres francais.</t>
  </si>
  <si>
    <t xml:space="preserve">Projection de calcaire sur le linge puis panne de la chaudiere</t>
  </si>
  <si>
    <t xml:space="preserve">T-136</t>
  </si>
  <si>
    <t xml:space="preserve">Releve mensuel du compteur d'eau</t>
  </si>
  <si>
    <t xml:space="preserve">Photo du compteur</t>
  </si>
  <si>
    <t xml:space="preserve">Photographier l'index chaque mois. Un ecart inexplique signale une fuite bien avant la facture de regularisation.</t>
  </si>
  <si>
    <t xml:space="preserve">Fuite enterree facturee au plein tarif pendant des mois</t>
  </si>
  <si>
    <t xml:space="preserve">T-137</t>
  </si>
  <si>
    <t xml:space="preserve">Declaration et controle du puits ou forage</t>
  </si>
  <si>
    <t xml:space="preserve">Declaration unique ; controle selon la commune</t>
  </si>
  <si>
    <t xml:space="preserve">CERFA 13837</t>
  </si>
  <si>
    <t xml:space="preserve">Declarer l'ouvrage en mairie. Si le puits alimente le reseau interieur, un controle du service des eaux est requis et une separation stricte des reseaux est obligatoire.</t>
  </si>
  <si>
    <t xml:space="preserve">Amende ; obligation de deconnexion du reseau interieur</t>
  </si>
  <si>
    <t xml:space="preserve">T-138</t>
  </si>
  <si>
    <t xml:space="preserve">Controle de la pression du surpresseur</t>
  </si>
  <si>
    <t xml:space="preserve">Couper la pompe, vidanger, controler la pression de gonflage du vase (generalement 0,2 bar sous la pression d'enclenchement) et regonfler.</t>
  </si>
  <si>
    <t xml:space="preserve">Cycles courts a repetition = usure rapide de la pompe et du contacteur</t>
  </si>
  <si>
    <t xml:space="preserve">T-139</t>
  </si>
  <si>
    <t xml:space="preserve">Controle du ballon tampon</t>
  </si>
  <si>
    <t xml:space="preserve">Pendant l'entretien de la chaudiere</t>
  </si>
  <si>
    <t xml:space="preserve">Controle de la pression, de l'isolation et de l'anode si le ballon en est equipe.</t>
  </si>
  <si>
    <t xml:space="preserve">Corrosion interne, perte de stratification et donc de rendement</t>
  </si>
  <si>
    <t xml:space="preserve">T-140</t>
  </si>
  <si>
    <t xml:space="preserve">Curage preventif des canalisations</t>
  </si>
  <si>
    <t xml:space="preserve">Tous les 2 a 3 ans</t>
  </si>
  <si>
    <t xml:space="preserve">Entreprise de curage</t>
  </si>
  <si>
    <t xml:space="preserve">Hydrocurage des collecteurs depuis les regards. Profiter du passage pour faire inspecter a la camera si la maison a plus de 40 ans.</t>
  </si>
  <si>
    <t xml:space="preserve">Bouchon, refoulement d'eaux usees dans le logement</t>
  </si>
  <si>
    <t xml:space="preserve">T-141</t>
  </si>
  <si>
    <t xml:space="preserve">Controle de la batterie de stockage</t>
  </si>
  <si>
    <t xml:space="preserve">Releve de l'etat de sante (SOH), controle de la ventilation du local et des connexions de puissance, mise a jour du firmware.</t>
  </si>
  <si>
    <t xml:space="preserve">Perte de capacite non detectee, risque thermique en cas de defaut cellule</t>
  </si>
  <si>
    <t xml:space="preserve">T-142</t>
  </si>
  <si>
    <t xml:space="preserve">Diagnostic de l'installation interieure de gaz</t>
  </si>
  <si>
    <t xml:space="preserve">A la vente (3 ans) ou a la mise en location (6 ans)</t>
  </si>
  <si>
    <t xml:space="preserve">Avant signature</t>
  </si>
  <si>
    <t xml:space="preserve">Obligatoire si l'installation a plus de 15 ans. Controle de la tuyauterie fixe, du raccordement des appareils, de la ventilation et de l'evacuation des produits de combustion.</t>
  </si>
  <si>
    <t xml:space="preserve">Vente bloquee ; responsabilite du vendeur pour vice cache</t>
  </si>
  <si>
    <t xml:space="preserve">T-143</t>
  </si>
  <si>
    <t xml:space="preserve">Verification annuelle de l'extincteur</t>
  </si>
  <si>
    <t xml:space="preserve">Societe de maintenance incendie</t>
  </si>
  <si>
    <t xml:space="preserve">Controle de la pression, de la goupille et de l'etat du flexible, apposition de l'etiquette datee. Requalification complete tous les 10 ans.</t>
  </si>
  <si>
    <t xml:space="preserve">Extincteur inoperant au moment ou il sert</t>
  </si>
  <si>
    <t xml:space="preserve">T-144</t>
  </si>
  <si>
    <t xml:space="preserve">Nettoyage et controle des cameras</t>
  </si>
  <si>
    <t xml:space="preserve">Nettoyer les optiques et les capteurs infrarouges, verifier le cadrage apres les tempetes, purger les enregistrements anciens conformement au RGPD.</t>
  </si>
  <si>
    <t xml:space="preserve">Images inexploitables au moment ou on en a besoin</t>
  </si>
  <si>
    <t xml:space="preserve">T-145</t>
  </si>
  <si>
    <t xml:space="preserve">Entretien de la platine de rue</t>
  </si>
  <si>
    <t xml:space="preserve">Chiffon, graisse silicone pour joints</t>
  </si>
  <si>
    <t xml:space="preserve">Nettoyer l'objectif et le clavier, verifier l'etancheite du capot et graisser le joint. La platine est exposee en permanence aux intemperies.</t>
  </si>
  <si>
    <t xml:space="preserve">Corrosion des contacts, platine muette</t>
  </si>
  <si>
    <t xml:space="preserve">T-146</t>
  </si>
  <si>
    <t xml:space="preserve">Entretien du store banne</t>
  </si>
  <si>
    <t xml:space="preserve">Brosse douce, savon neutre, graisse silicone</t>
  </si>
  <si>
    <t xml:space="preserve">Brosser la toile deployee et seche, graisser les articulations des bras. Ne jamais enrouler une toile humide.</t>
  </si>
  <si>
    <t xml:space="preserve">Toile moisie a remplacer, bras bloques, casse au premier coup de vent</t>
  </si>
  <si>
    <t xml:space="preserve">T-147</t>
  </si>
  <si>
    <t xml:space="preserve">Entretien biennal de la PAC de piscine</t>
  </si>
  <si>
    <t xml:space="preserve">Avril, a la remise en service</t>
  </si>
  <si>
    <t xml:space="preserve">Controle d'etancheite du circuit frigorifique, nettoyage de l'evaporateur, controle du debit d'eau et du condenseur.</t>
  </si>
  <si>
    <t xml:space="preserve">Obligation legale ; echangeur entartre et fuite de fluide</t>
  </si>
  <si>
    <t xml:space="preserve">T-148</t>
  </si>
  <si>
    <t xml:space="preserve">Entretien du robot de piscine</t>
  </si>
  <si>
    <t xml:space="preserve">Apres chaque usage (filtre) / annuel (brosses)</t>
  </si>
  <si>
    <t xml:space="preserve">Jet d'eau claire</t>
  </si>
  <si>
    <t xml:space="preserve">Rincer le filtre a l'eau claire apres chaque session, verifier les brosses et les chenilles, stocker a l'ombre et hors gel.</t>
  </si>
  <si>
    <t xml:space="preserve">Moteur encrasse, courroies rompues, appareil rarement reparable</t>
  </si>
  <si>
    <t xml:space="preserve">T-149</t>
  </si>
  <si>
    <t xml:space="preserve">Revision du taille-haie et de la debroussailleuse</t>
  </si>
  <si>
    <t xml:space="preserve">Mars</t>
  </si>
  <si>
    <t xml:space="preserve">Lime, huile de lame, filtre a air, bougie</t>
  </si>
  <si>
    <t xml:space="preserve">Affuter et huiler les lames, remplacer le filtre a air et la bougie, verifier le fil ou la lame de coupe.</t>
  </si>
  <si>
    <t xml:space="preserve">Lames grippees, moteur noye, coupe qui dechire la vegetation</t>
  </si>
  <si>
    <t xml:space="preserve">T-150</t>
  </si>
  <si>
    <t xml:space="preserve">Traitement du bois de l'abri de jardin</t>
  </si>
  <si>
    <t xml:space="preserve">Mai a juin, par temps sec</t>
  </si>
  <si>
    <t xml:space="preserve">Lasure ou saturateur, brosse, ponceuse</t>
  </si>
  <si>
    <t xml:space="preserve">Poncer legerement, depoussierer, appliquer deux couches. Traiter en priorite les lisses basses et les pieds de poteaux, au contact du sol.</t>
  </si>
  <si>
    <t xml:space="preserve">Pourrissement des pieds de poteaux et de la toiture, structure a remplacer</t>
  </si>
  <si>
    <t xml:space="preserve">T-151</t>
  </si>
  <si>
    <t xml:space="preserve">Controle de la facade et des points singuliers</t>
  </si>
  <si>
    <t xml:space="preserve">Apres l'hiver</t>
  </si>
  <si>
    <t xml:space="preserve">Chercher fissures, cloques d'enduit, joints degrades autour des menuiseries et traces de ruissellement sous les appuis de fenetre.</t>
  </si>
  <si>
    <t xml:space="preserve">Infiltration par microfissure ; ravalement pouvant etre impose par arrete municipal</t>
  </si>
  <si>
    <t xml:space="preserve">T-152</t>
  </si>
  <si>
    <t xml:space="preserve">Controle technique de la voiture</t>
  </si>
  <si>
    <t xml:space="preserve">Tous les 2 ans (1er dans les 6 mois avant le 4e anniversaire)</t>
  </si>
  <si>
    <t xml:space="preserve">Centre de controle agree, carte grise</t>
  </si>
  <si>
    <t xml:space="preserve">La date de premiere immatriculation figure sur la carte grise (champ B) : l'echeance en decoule. Prendre rendez-vous dans le mois qui precede. En cas de contre-visite, les reparations doivent etre controlees dans les 2 mois.</t>
  </si>
  <si>
    <t xml:space="preserve">T-153</t>
  </si>
  <si>
    <t xml:space="preserve">Controle technique du deux-roues</t>
  </si>
  <si>
    <t xml:space="preserve">Tous les 3 ans (1er entre 4,5 et 5 ans apres la 1re immatriculation)</t>
  </si>
  <si>
    <t xml:space="preserve">Centre de controle agree categorie L, carte grise</t>
  </si>
  <si>
    <t xml:space="preserve">L'echeance depend de la date de premiere immatriculation (carte grise, champ B). Les vehicules immatricules avant 2022 suivent un calendrier transitoire. Choisir un centre agree pour la categorie L.</t>
  </si>
  <si>
    <t xml:space="preserve">T-154</t>
  </si>
  <si>
    <t xml:space="preserve">Revision annuelle du velo electrique</t>
  </si>
  <si>
    <t xml:space="preserve">Reparateur velo</t>
  </si>
  <si>
    <t xml:space="preserve">Controle des freins, de la transmission et des pneus, mise a jour du moteur si le fabricant la propose. Entre deux periodes d'usage, stocker la batterie a mi-charge, au sec et a temperature ambiante.</t>
  </si>
  <si>
    <t xml:space="preserve">Freinage degrade, usure acceleree de la transmission, batterie qui perd de sa capacite</t>
  </si>
  <si>
    <t xml:space="preserve">Questionnaire d'accueil : premiere utilisation et nouveau lieu</t>
  </si>
  <si>
    <t xml:space="preserve">Une ligne = une reponse possible. Chaque obligation a sa propre question de date (onglet Questions de date, seed/date_questions.json), qui nomme l'appareil et l'intervention. Réponses graduées avec le vrai délai de l'obligation : mois et année → calcul normal ; « Il y a moins de {délai} », sans date précise → à confirmer (orange) ; « Il y a plus de {délai} » → en retard (rouge) ; « Jamais ou je ne sais pas », un seul bouton en dernière position → en retard, prioritaire. Les dates se choisissent dans deux listes (mois en toutes lettres, année) et s'affichent « septembre 2026 », jamais avec un jour.</t>
  </si>
  <si>
    <t xml:space="preserve">Bloc</t>
  </si>
  <si>
    <t xml:space="preserve">Ordre</t>
  </si>
  <si>
    <t xml:space="preserve">Question</t>
  </si>
  <si>
    <t xml:space="preserve">Type de reponse</t>
  </si>
  <si>
    <t xml:space="preserve">Reponse</t>
  </si>
  <si>
    <t xml:space="preserve">Types crees</t>
  </si>
  <si>
    <t xml:space="preserve">Question de suivi</t>
  </si>
  <si>
    <t xml:space="preserve">Aide</t>
  </si>
  <si>
    <t xml:space="preserve">Suivi : types crees si oui</t>
  </si>
  <si>
    <t xml:space="preserve">Ne pas poser si</t>
  </si>
  <si>
    <t xml:space="preserve">Renseigne</t>
  </si>
  <si>
    <t xml:space="preserve">Statut initial</t>
  </si>
  <si>
    <t xml:space="preserve">Q01</t>
  </si>
  <si>
    <t xml:space="preserve">Contexte</t>
  </si>
  <si>
    <t xml:space="preserve">Ce logement est :</t>
  </si>
  <si>
    <t xml:space="preserve">Choix unique</t>
  </si>
  <si>
    <t xml:space="preserve">Votre résidence principale</t>
  </si>
  <si>
    <t xml:space="preserve">Type de bien : résidence principale.</t>
  </si>
  <si>
    <t xml:space="preserve">property_type = main_home</t>
  </si>
  <si>
    <t xml:space="preserve">Une résidence secondaire</t>
  </si>
  <si>
    <t xml:space="preserve">Active les tâches d'hivernage et de remise en service.</t>
  </si>
  <si>
    <t xml:space="preserve">property_type = second_home</t>
  </si>
  <si>
    <t xml:space="preserve">Un logement loué à l'année</t>
  </si>
  <si>
    <t xml:space="preserve">Les tâches à la charge de l'occupant (entretien de la chaudière, ramonage, entretien du détecteur) reviennent au locataire : elles sont affichées pour information.</t>
  </si>
  <si>
    <t xml:space="preserve">property_type = long_term_rental</t>
  </si>
  <si>
    <t xml:space="preserve">Un logement loué en courte durée</t>
  </si>
  <si>
    <t xml:space="preserve">Toutes les obligations restent à votre charge.</t>
  </si>
  <si>
    <t xml:space="preserve">property_type = short_term_rental</t>
  </si>
  <si>
    <t xml:space="preserve">Q02</t>
  </si>
  <si>
    <t xml:space="preserve">Obligations</t>
  </si>
  <si>
    <t xml:space="preserve">Comment le logement est-il principalement chauffé ?</t>
  </si>
  <si>
    <t xml:space="preserve">Chaudière au gaz de ville</t>
  </si>
  <si>
    <t xml:space="preserve">Est-elle raccordée à un conduit de cheminée, et non à une ventouse (un tuyau qui sort directement du mur) ?</t>
  </si>
  <si>
    <t xml:space="preserve">Chaudière au propane (citerne)</t>
  </si>
  <si>
    <t xml:space="preserve">CH-01, CH-16</t>
  </si>
  <si>
    <t xml:space="preserve">Chaudière au fioul</t>
  </si>
  <si>
    <t xml:space="preserve">CH-02, CH-15, CH-07</t>
  </si>
  <si>
    <t xml:space="preserve">Crée aussi la cuve et le conduit de fumée.</t>
  </si>
  <si>
    <t xml:space="preserve">Chaudière bois ou granulés</t>
  </si>
  <si>
    <t xml:space="preserve">CH-03, CH-07</t>
  </si>
  <si>
    <t xml:space="preserve">Crée aussi le conduit de fumée.</t>
  </si>
  <si>
    <t xml:space="preserve">Poêle ou insert à bois</t>
  </si>
  <si>
    <t xml:space="preserve">CH-05, CH-07</t>
  </si>
  <si>
    <t xml:space="preserve">Poêle à granulés</t>
  </si>
  <si>
    <t xml:space="preserve">CH-04, CH-07</t>
  </si>
  <si>
    <t xml:space="preserve">Pompe à chaleur avec radiateurs ou plancher chauffant</t>
  </si>
  <si>
    <t xml:space="preserve">Pompe à chaleur air/eau.</t>
  </si>
  <si>
    <t xml:space="preserve">Pompe à chaleur qui souffle de l'air (clim réversible)</t>
  </si>
  <si>
    <t xml:space="preserve">Obligation à confirmer selon la puissance, à partir de 4 kW.</t>
  </si>
  <si>
    <t xml:space="preserve">Géothermie</t>
  </si>
  <si>
    <t xml:space="preserve">Radiateurs électriques</t>
  </si>
  <si>
    <t xml:space="preserve">Pas d'obligation : entretien seulement.</t>
  </si>
  <si>
    <t xml:space="preserve">Je ne sais pas</t>
  </si>
  <si>
    <t xml:space="preserve">Indice : une chaudière se trouve souvent dans la cuisine, la buanderie, le garage ou la cave ; une pompe à chaleur a une unité extérieure.</t>
  </si>
  <si>
    <t xml:space="preserve">Q03</t>
  </si>
  <si>
    <t xml:space="preserve">Avez-vous aussi une cheminée, un insert ou un poêle ?</t>
  </si>
  <si>
    <t xml:space="preserve">Choix multiple</t>
  </si>
  <si>
    <t xml:space="preserve">Cheminée à foyer ouvert</t>
  </si>
  <si>
    <t xml:space="preserve">Un conduit de fumée est créé pour chaque appareil raccordé.</t>
  </si>
  <si>
    <t xml:space="preserve">Q02 = Poêle ou insert à bois ; Q02 = Poêle à granulés</t>
  </si>
  <si>
    <t xml:space="preserve">Insert ou poêle à bois</t>
  </si>
  <si>
    <t xml:space="preserve">Q04</t>
  </si>
  <si>
    <t xml:space="preserve">Comment l'eau chaude est-elle produite ?</t>
  </si>
  <si>
    <t xml:space="preserve">Par le chauffage (chaudière ou pompe à chaleur)</t>
  </si>
  <si>
    <t xml:space="preserve">Déjà couvert par le chauffage.</t>
  </si>
  <si>
    <t xml:space="preserve">Ballon électrique (cumulus)</t>
  </si>
  <si>
    <t xml:space="preserve">Obligation à confirmer selon la puissance.</t>
  </si>
  <si>
    <t xml:space="preserve">Chauffe-eau au gaz</t>
  </si>
  <si>
    <t xml:space="preserve">Chauffe-eau solaire</t>
  </si>
  <si>
    <t xml:space="preserve">Indice : un ballon électrique est un grand cylindre, souvent dans un placard, la buanderie ou le garage.</t>
  </si>
  <si>
    <t xml:space="preserve">Q05</t>
  </si>
  <si>
    <t xml:space="preserve">Avez-vous la climatisation ?</t>
  </si>
  <si>
    <t xml:space="preserve">Oui, fixe (murale ou gainable)</t>
  </si>
  <si>
    <t xml:space="preserve">Q02 = Pompe à chaleur qui souffle de l'air (clim réversible)</t>
  </si>
  <si>
    <t xml:space="preserve">Un climatiseur mobile seulement</t>
  </si>
  <si>
    <t xml:space="preserve">Q06</t>
  </si>
  <si>
    <t xml:space="preserve">Cuisinez-vous au gaz ?</t>
  </si>
  <si>
    <t xml:space="preserve">CUIS-03, CUIS-04</t>
  </si>
  <si>
    <t xml:space="preserve">Indice : des brûleurs à flamme signalent une cuisson au gaz.</t>
  </si>
  <si>
    <t xml:space="preserve">Q07</t>
  </si>
  <si>
    <t xml:space="preserve">Le logement est-il raccordé au tout-à-l'égout ?</t>
  </si>
  <si>
    <t xml:space="preserve">Non, fosse septique ou fosse toutes eaux</t>
  </si>
  <si>
    <t xml:space="preserve">Non, micro-station d'épuration</t>
  </si>
  <si>
    <t xml:space="preserve">Indice : si votre facture d'eau comporte une ligne « assainissement collectif », le logement est raccordé.</t>
  </si>
  <si>
    <t xml:space="preserve">Q08</t>
  </si>
  <si>
    <t xml:space="preserve">Avez-vous une piscine enterrée ou semi-enterrée ?</t>
  </si>
  <si>
    <t xml:space="preserve">Oui, protégée par une barrière</t>
  </si>
  <si>
    <t xml:space="preserve">Oui, protégée par une alarme</t>
  </si>
  <si>
    <t xml:space="preserve">PIS-01, PIS-07</t>
  </si>
  <si>
    <t xml:space="preserve">Oui, protégée par une couverture ou un abri</t>
  </si>
  <si>
    <t xml:space="preserve">Oui, sans dispositif de sécurité</t>
  </si>
  <si>
    <t xml:space="preserve">Un dispositif de sécurité est obligatoire : l'obligation apparaîtra en retard.</t>
  </si>
  <si>
    <t xml:space="preserve">T-093 = jamais</t>
  </si>
  <si>
    <t xml:space="preserve">Q09</t>
  </si>
  <si>
    <t xml:space="preserve">Avez-vous un puits ou un forage ?</t>
  </si>
  <si>
    <t xml:space="preserve">Q10</t>
  </si>
  <si>
    <t xml:space="preserve">Un véhicule est-il rattaché à {residence} ?</t>
  </si>
  <si>
    <t xml:space="preserve">Voiture</t>
  </si>
  <si>
    <t xml:space="preserve">Rattachez chaque véhicule à un seul logement, celui où il est principalement garé, pour ne pas le compter deux fois.</t>
  </si>
  <si>
    <t xml:space="preserve">Q01 = Un logement loué à l'année ; Q01 = Un logement loué en courte durée</t>
  </si>
  <si>
    <t xml:space="preserve">Moto, scooter ou quadricycle</t>
  </si>
  <si>
    <t xml:space="preserve">Vélo électrique</t>
  </si>
  <si>
    <t xml:space="preserve">Q11</t>
  </si>
  <si>
    <t xml:space="preserve">Avez-vous un détecteur de fumée installé ?</t>
  </si>
  <si>
    <t xml:space="preserve">Obligatoire dans tout logement.</t>
  </si>
  <si>
    <t xml:space="preserve">Obligatoire dans tout logement : l'installation apparaîtra en retard.</t>
  </si>
  <si>
    <t xml:space="preserve">T-082 = jamais ; T-083 = jamais</t>
  </si>
  <si>
    <t xml:space="preserve">Indice : il se trouve en général au plafond d'un couloir ou d'un palier.</t>
  </si>
  <si>
    <t xml:space="preserve">T-083 = jamais</t>
  </si>
  <si>
    <t xml:space="preserve">REGLE-01</t>
  </si>
  <si>
    <t xml:space="preserve">Date du dernier passage</t>
  </si>
  <si>
    <t xml:space="preserve">Regle</t>
  </si>
  <si>
    <t xml:space="preserve">Pour chaque obligation créée</t>
  </si>
  <si>
    <t xml:space="preserve">Chaque obligation a sa propre question de date (onglet Questions de date, seed/date_questions.json), qui nomme l'appareil et l'intervention. Réponses graduées avec le vrai délai de l'obligation : mois et année → calcul normal ; « Il y a moins de {délai} », sans date précise → à confirmer (orange) ; « Il y a plus de {délai} » → en retard (rouge) ; « Jamais ou je ne sais pas », un seul bouton en dernière position → en retard, prioritaire. Les dates se choisissent dans deux listes (mois en toutes lettres, année) et s'affichent « septembre 2026 », jamais avec un jour.</t>
  </si>
  <si>
    <t xml:space="preserve">REGLE-02</t>
  </si>
  <si>
    <t xml:space="preserve">Réponse « Je ne sais pas »</t>
  </si>
  <si>
    <t xml:space="preserve">Pour chaque question d'obligation</t>
  </si>
  <si>
    <t xml:space="preserve">« Je ne sais pas » ne bloque jamais la progression : la réponse ajoute un point « à vérifier » sur l'écran d'accueil, avec l'aide associée pour trouver la réponse. Même règle pour les questions de suivi. À l'écran, c'est un bouton comme les autres, en dernière position.</t>
  </si>
  <si>
    <t xml:space="preserve">REGLE-03</t>
  </si>
  <si>
    <t xml:space="preserve">Appareil et conduit de fumée</t>
  </si>
  <si>
    <t xml:space="preserve">Pour chaque réponse créant un appareil et son conduit</t>
  </si>
  <si>
    <t xml:space="preserve">Quand une réponse crée un appareil à combustion et son conduit de fumée (poêle, insert, chaudière), une seule question de date couvre les deux : l'entretien et le ramonage se font au même passage. Un lien « faits séparément ? » permet de donner deux dates, ou d'indiquer que seul l'un des deux a été fait.</t>
  </si>
  <si>
    <t xml:space="preserve">REGLE-04</t>
  </si>
  <si>
    <t xml:space="preserve">Type de logement déjà connu</t>
  </si>
  <si>
    <t xml:space="preserve">Pour la question Q01</t>
  </si>
  <si>
    <t xml:space="preserve">La question Q01 n'est pas posée si le type de logement a déjà été renseigné à la création du lieu. Sa réponse est alors déduite du type du lieu, et les conditions qui en dépendent (skip_if) s'appliquent.</t>
  </si>
  <si>
    <t xml:space="preserve">REGLE-05</t>
  </si>
  <si>
    <t xml:space="preserve">Nom du logement dans les questions</t>
  </si>
  <si>
    <t xml:space="preserve">Pour les textes contenant {residence}</t>
  </si>
  <si>
    <t xml:space="preserve">Dans les textes, {residence} se remplace par « votre résidence principale » ou « votre résidence secondaire », selon le type du lieu.</t>
  </si>
  <si>
    <t xml:space="preserve">REGLE-06</t>
  </si>
  <si>
    <t xml:space="preserve">Statut initial fixé</t>
  </si>
  <si>
    <t xml:space="preserve">Pour les réponses qui fixent un statut</t>
  </si>
  <si>
    <t xml:space="preserve">Si une réponse fixe le statut initial d'une tâche (colonne Statut initial), sa question de date n'est pas posée.</t>
  </si>
  <si>
    <t xml:space="preserve">Q20</t>
  </si>
  <si>
    <t xml:space="preserve">Entretien</t>
  </si>
  <si>
    <t xml:space="preserve">Quels appareils avez-vous ? (facultatif)</t>
  </si>
  <si>
    <t xml:space="preserve">Cases a cocher</t>
  </si>
  <si>
    <t xml:space="preserve">Réfrigérateur</t>
  </si>
  <si>
    <t xml:space="preserve">Congélateur</t>
  </si>
  <si>
    <t xml:space="preserve">Sèche-linge</t>
  </si>
  <si>
    <t xml:space="preserve">Four</t>
  </si>
  <si>
    <t xml:space="preserve">Plaque à induction</t>
  </si>
  <si>
    <t xml:space="preserve">Hotte</t>
  </si>
  <si>
    <t xml:space="preserve">Micro-ondes</t>
  </si>
  <si>
    <t xml:space="preserve">Machine à café</t>
  </si>
  <si>
    <t xml:space="preserve">Aspirateur</t>
  </si>
  <si>
    <t xml:space="preserve">VMC</t>
  </si>
  <si>
    <t xml:space="preserve">Simple flux par défaut ; double flux à préciser ensuite.</t>
  </si>
  <si>
    <t xml:space="preserve">Détecteur de monoxyde de carbone</t>
  </si>
  <si>
    <t xml:space="preserve">Recommandé dès qu'un appareil à combustion est présent.</t>
  </si>
  <si>
    <t xml:space="preserve">Portail motorisé</t>
  </si>
  <si>
    <t xml:space="preserve">Tondeuse</t>
  </si>
  <si>
    <t xml:space="preserve">Panneaux solaires</t>
  </si>
  <si>
    <t xml:space="preserve">ENE-01, ENE-02</t>
  </si>
  <si>
    <t xml:space="preserve">Crée aussi l'onduleur.</t>
  </si>
  <si>
    <t xml:space="preserve">Borne de recharge</t>
  </si>
  <si>
    <t xml:space="preserve">Gouttières</t>
  </si>
  <si>
    <t xml:space="preserve">Une question de date par obligation, avec le vrai delai legal</t>
  </si>
  <si>
    <t xml:space="preserve">Mois gradue : mois et annee | Il y a moins de {delai} | Il y a plus de {delai} | Jamais ou je ne sais pas (un seul bouton, en dernier). Affichage des dates : septembre 2026.</t>
  </si>
  <si>
    <t xml:space="preserve">Cle</t>
  </si>
  <si>
    <t xml:space="preserve">Appareil</t>
  </si>
  <si>
    <t xml:space="preserve">Type</t>
  </si>
  <si>
    <t xml:space="preserve">Delai</t>
  </si>
  <si>
    <t xml:space="preserve">Note</t>
  </si>
  <si>
    <t xml:space="preserve">Chaudière au gaz</t>
  </si>
  <si>
    <t xml:space="preserve">Quand la chaudière a-t-elle été entretenue pour la dernière fois ?</t>
  </si>
  <si>
    <t xml:space="preserve">Mois gradué</t>
  </si>
  <si>
    <t xml:space="preserve">un an</t>
  </si>
  <si>
    <t xml:space="preserve">Quand le poêle à granulés a-t-il été entretenu pour la dernière fois ?</t>
  </si>
  <si>
    <t xml:space="preserve">Quand le poêle ou l'insert a-t-il été entretenu pour la dernière fois ?</t>
  </si>
  <si>
    <t xml:space="preserve">Conduit de fumée</t>
  </si>
  <si>
    <t xml:space="preserve">Quand le conduit de fumée a-t-il été ramoné pour la dernière fois ?</t>
  </si>
  <si>
    <t xml:space="preserve">Posée seule quand l'appareil et le conduit ont été faits à des dates différentes.</t>
  </si>
  <si>
    <t xml:space="preserve">Quand la cheminée a-t-elle été ramonée pour la dernière fois ?</t>
  </si>
  <si>
    <t xml:space="preserve">T-001+T-014</t>
  </si>
  <si>
    <t xml:space="preserve">T-001, T-014</t>
  </si>
  <si>
    <t xml:space="preserve">Chaudière au gaz et son conduit</t>
  </si>
  <si>
    <t xml:space="preserve">Quand la chaudière a-t-elle été entretenue et son conduit ramoné pour la dernière fois ?</t>
  </si>
  <si>
    <t xml:space="preserve">Question commune à l'appareil et à son conduit (REGLE-03).</t>
  </si>
  <si>
    <t xml:space="preserve">T-004+T-014</t>
  </si>
  <si>
    <t xml:space="preserve">T-004, T-014</t>
  </si>
  <si>
    <t xml:space="preserve">Chaudière au fioul et son conduit</t>
  </si>
  <si>
    <t xml:space="preserve">T-006+T-014</t>
  </si>
  <si>
    <t xml:space="preserve">T-006, T-014</t>
  </si>
  <si>
    <t xml:space="preserve">Chaudière bois ou granulés et son conduit</t>
  </si>
  <si>
    <t xml:space="preserve">T-010+T-014</t>
  </si>
  <si>
    <t xml:space="preserve">T-010, T-014</t>
  </si>
  <si>
    <t xml:space="preserve">Poêle à granulés et son conduit</t>
  </si>
  <si>
    <t xml:space="preserve">Quand le poêle à granulés a-t-il été entretenu et son conduit ramoné pour la dernière fois ?</t>
  </si>
  <si>
    <t xml:space="preserve">T-013+T-014</t>
  </si>
  <si>
    <t xml:space="preserve">T-013, T-014</t>
  </si>
  <si>
    <t xml:space="preserve">Poêle ou insert à bois et son conduit</t>
  </si>
  <si>
    <t xml:space="preserve">Quand le poêle ou l'insert a-t-il été entretenu et son conduit ramoné pour la dernière fois ?</t>
  </si>
  <si>
    <t xml:space="preserve">Pompe à chaleur air/eau</t>
  </si>
  <si>
    <t xml:space="preserve">Quand la pompe à chaleur a-t-elle été entretenue pour la dernière fois ?</t>
  </si>
  <si>
    <t xml:space="preserve">2 ans</t>
  </si>
  <si>
    <t xml:space="preserve">Pompe à chaleur air/air</t>
  </si>
  <si>
    <t xml:space="preserve">Pompe à chaleur géothermique</t>
  </si>
  <si>
    <t xml:space="preserve">Quand la pompe à chaleur géothermique a-t-elle été entretenue pour la dernière fois ?</t>
  </si>
  <si>
    <t xml:space="preserve">Quand le chauffe-eau thermodynamique a-t-il été entretenu pour la dernière fois ?</t>
  </si>
  <si>
    <t xml:space="preserve">Quand le chauffe-eau au gaz a-t-il été entretenu pour la dernière fois ?</t>
  </si>
  <si>
    <t xml:space="preserve">Quand la climatisation a-t-elle été entretenue pour la dernière fois ?</t>
  </si>
  <si>
    <t xml:space="preserve">Pompe à chaleur de piscine</t>
  </si>
  <si>
    <t xml:space="preserve">Quand la pompe à chaleur de la piscine a-t-elle été entretenue pour la dernière fois ?</t>
  </si>
  <si>
    <t xml:space="preserve">Circuit de climatisation</t>
  </si>
  <si>
    <t xml:space="preserve">Quand l'étanchéité du circuit de climatisation a-t-elle été contrôlée pour la dernière fois ?</t>
  </si>
  <si>
    <t xml:space="preserve">Citerne de propane</t>
  </si>
  <si>
    <t xml:space="preserve">Quand votre fournisseur de gaz a-t-il contrôlé la citerne pour la dernière fois ?</t>
  </si>
  <si>
    <t xml:space="preserve">5 ans</t>
  </si>
  <si>
    <t xml:space="preserve">Selon le contrat du fournisseur.</t>
  </si>
  <si>
    <t xml:space="preserve">Fosse septique</t>
  </si>
  <si>
    <t xml:space="preserve">Quand la fosse a-t-elle été vidangée pour la dernière fois ?</t>
  </si>
  <si>
    <t xml:space="preserve">4 ans</t>
  </si>
  <si>
    <t xml:space="preserve">Délai indicatif : la vidange dépend du niveau de boues.</t>
  </si>
  <si>
    <t xml:space="preserve">Quand le SPANC est-il venu contrôler l'installation pour la dernière fois ?</t>
  </si>
  <si>
    <t xml:space="preserve">La commune peut fixer un délai plus court.</t>
  </si>
  <si>
    <t xml:space="preserve">Micro-station</t>
  </si>
  <si>
    <t xml:space="preserve">Quand la micro-station a-t-elle été entretenue pour la dernière fois ?</t>
  </si>
  <si>
    <t xml:space="preserve">Ascenseur</t>
  </si>
  <si>
    <t xml:space="preserve">Quand l'ascenseur a-t-il passé son dernier contrôle technique ?</t>
  </si>
  <si>
    <t xml:space="preserve">Installation de gaz</t>
  </si>
  <si>
    <t xml:space="preserve">Quand le diagnostic de l'installation de gaz a-t-il été réalisé ?</t>
  </si>
  <si>
    <t xml:space="preserve">3 ans</t>
  </si>
  <si>
    <t xml:space="preserve">Exigé à la vente (valable 3 ans) ou à la mise en location (6 ans).</t>
  </si>
  <si>
    <t xml:space="preserve">Tuyau de gaz</t>
  </si>
  <si>
    <t xml:space="preserve">Quelle date de péremption est imprimée sur le tuyau de gaz de la cuisinière ?</t>
  </si>
  <si>
    <t xml:space="preserve">Péremption</t>
  </si>
  <si>
    <t xml:space="preserve">Mois et année, ou « Je ne trouve pas la date » (à confirmer). La date donnée devient l'échéance.</t>
  </si>
  <si>
    <t xml:space="preserve">Détecteur de fumée</t>
  </si>
  <si>
    <t xml:space="preserve">Quelle date est imprimée au dos du détecteur ?</t>
  </si>
  <si>
    <t xml:space="preserve">Fabrication</t>
  </si>
  <si>
    <t xml:space="preserve">Explication affichée : un détecteur se remplace 10 ans après sa fabrication. Mois et année, ou « Je ne la trouve pas » (à confirmer). Échéance = date + 10 ans.</t>
  </si>
  <si>
    <t xml:space="preserve">Quand la voiture a-t-elle passé son dernier contrôle technique ?</t>
  </si>
  <si>
    <t xml:space="preserve">Contrôle véhicule</t>
  </si>
  <si>
    <t xml:space="preserve">Option en plus : « Jamais, elle a moins de 4 ans ». On demande alors la date de première immatriculation ; échéance = cette date + 4 ans.</t>
  </si>
  <si>
    <t xml:space="preserve">Quand le véhicule a-t-il passé son dernier contrôle technique ?</t>
  </si>
  <si>
    <t xml:space="preserve">Option en plus : « Jamais, il a moins de 5 ans ». Échéance = date de première immatriculation + 5 ans.</t>
  </si>
  <si>
    <t xml:space="preserve">Puits ou forage</t>
  </si>
  <si>
    <t xml:space="preserve">Le puits est-il déclaré en mairie ?</t>
  </si>
  <si>
    <t xml:space="preserve">Oui / non</t>
  </si>
  <si>
    <t xml:space="preserve">Oui → à jour ; Non → en retard (à déclarer) ; Je ne sais pas → à confirmer.</t>
  </si>
  <si>
    <t xml:space="preserve">Test mensuel : démarre à la création.</t>
  </si>
  <si>
    <t xml:space="preserve">Visite toutes les 6 semaines : démarre à la création.</t>
  </si>
  <si>
    <t xml:space="preserve">Contrôle mensuel du dispositif : démarre à la création, sauf statut initial fixé par le questionnaire.</t>
  </si>
  <si>
    <t xml:space="preserve">Non générée</t>
  </si>
  <si>
    <t xml:space="preserve">Second ramonage : seulement au-delà de 6 m³ de bois ou 2,5 t de granulés par an.</t>
  </si>
  <si>
    <t xml:space="preserve">Aide adaptative a la marque : ou lire la plaque et quel identifiant valider</t>
  </si>
  <si>
    <t xml:space="preserve">Maintenu par groupe industriel : une dizaine de groupes couvrent l'essentiel du parc francais. Colonne Statut : ne pousser en production que les lignes verifiees.</t>
  </si>
  <si>
    <t xml:space="preserve">Groupe</t>
  </si>
  <si>
    <t xml:space="preserve">Marques couvertes</t>
  </si>
  <si>
    <t xml:space="preserve">Categories</t>
  </si>
  <si>
    <t xml:space="preserve">Identifiants a lire</t>
  </si>
  <si>
    <t xml:space="preserve">Regle de validation (indicative)</t>
  </si>
  <si>
    <t xml:space="preserve">Decodage date de fabrication</t>
  </si>
  <si>
    <t xml:space="preserve">Emplacements specifiques</t>
  </si>
  <si>
    <t xml:space="preserve">Particularites</t>
  </si>
  <si>
    <t xml:space="preserve">Source</t>
  </si>
  <si>
    <t xml:space="preserve">Statut</t>
  </si>
  <si>
    <t xml:space="preserve">BSH</t>
  </si>
  <si>
    <t xml:space="preserve">Bosch, Siemens, Neff, Gaggenau, Constructa</t>
  </si>
  <si>
    <t xml:space="preserve">Lavage, froid, cuisson, hottes</t>
  </si>
  <si>
    <t xml:space="preserve">E-Nr (reference modele), FD (date de fabrication), Z-Nr / n. de serie</t>
  </si>
  <si>
    <t xml:space="preserve">E-Nr : alphanumerique termine par / et 1 a 2 chiffres (ex. B57CR22N0/01). FD : 4 chiffres</t>
  </si>
  <si>
    <t xml:space="preserve">Annee = 2 premiers chiffres du FD + 1920 ; mois = 2 derniers (FD 9405 = mai 2014). Regle publiee jusqu'a FD 9912 (dec. 2019) : format posterieur a confirmer aupres de BSH</t>
  </si>
  <si>
    <t xml:space="preserve">Localisateur officiel par categorie sur les sites de chaque marque ; en general au niveau de la porte</t>
  </si>
  <si>
    <t xml:space="preserve">Bosch propose deja la lecture photo de sa plaque sur son site : preuve de faisabilite et benchmark</t>
  </si>
  <si>
    <t xml:space="preserve">https://www.bosch-home.fr/france/localiser-plaque-signaletique ; https://www.neff-home.com/fr/promotions/plaque-signaletique</t>
  </si>
  <si>
    <t xml:space="preserve">Verifie (source officielle)</t>
  </si>
  <si>
    <t xml:space="preserve">Miele</t>
  </si>
  <si>
    <t xml:space="preserve">Tout le gros electromenager</t>
  </si>
  <si>
    <t xml:space="preserve">Reference du modele, numero de materiel, numero de fabrication, numero de serie</t>
  </si>
  <si>
    <t xml:space="preserve">Format propre a Miele</t>
  </si>
  <si>
    <t xml:space="preserve">A documenter</t>
  </si>
  <si>
    <t xml:space="preserve">Tables de cuisson : plaque SOUS l'appareil</t>
  </si>
  <si>
    <t xml:space="preserve">Une 2e plaque est fournie pour etre collee dans le mode d'emploi : c'est elle qu'il faut photographier pour une table encastree</t>
  </si>
  <si>
    <t xml:space="preserve">https://www.miele.fr/c/plate-finder.htm</t>
  </si>
  <si>
    <t xml:space="preserve">Liebherr</t>
  </si>
  <si>
    <t xml:space="preserve">Refrigerateurs, congelateurs, caves a vin</t>
  </si>
  <si>
    <t xml:space="preserve">Service no. et Serial no.</t>
  </si>
  <si>
    <t xml:space="preserve">Numero a 9 chiffres (selon Liebherr)</t>
  </si>
  <si>
    <t xml:space="preserve">Plaque a l'interieur de l'appareil</t>
  </si>
  <si>
    <t xml:space="preserve">Modeles a ecran : plaque signaletique numerique dans Reglages &gt; Informations. Une capture de l'ecran suffit, sans chercher la plaque</t>
  </si>
  <si>
    <t xml:space="preserve">https://www.liebherr.com/fr-fr/refrigerateurs-congelateurs/plaque-signaletique-3042050</t>
  </si>
  <si>
    <t xml:space="preserve">Samsung</t>
  </si>
  <si>
    <t xml:space="preserve">Lavage, froid, cuisson, climatisation</t>
  </si>
  <si>
    <t xml:space="preserve">Code modele, n. de serie (S/N)</t>
  </si>
  <si>
    <t xml:space="preserve">Format propre a Samsung</t>
  </si>
  <si>
    <t xml:space="preserve">Froid : paroi gauche, interieure ou exterieure. Lavage frontal : cadre de porte pres du joint, sinon etiquette au dos</t>
  </si>
  <si>
    <t xml:space="preserve">Sur certains refrigerateurs, le numero de l'autocollant exterieur est un numero de controle usine, pas le n. de serie : lire l'etiquette interieure</t>
  </si>
  <si>
    <t xml:space="preserve">https://ushl.samsung.com/ch_fr/support/home-appliances/comment-trouver-le-numero-de-serie-code-modele-ou-numero-imei-de-mon-appareil ; https://ushl.samsung.com/be_fr/support/home-appliances/ou-puis-je-trouver-le-numero-de-serie-de-mon-refrigerateur</t>
  </si>
  <si>
    <t xml:space="preserve">LG</t>
  </si>
  <si>
    <t xml:space="preserve">Modele, n. de serie</t>
  </si>
  <si>
    <t xml:space="preserve">Format propre a LG</t>
  </si>
  <si>
    <t xml:space="preserve">Lavage frontal : etiquette argentee autour de l'ouverture du tambour, en general en haut. Chargement par le haut : au dos ou cote droit. Froid : paroi interieure gauche (modeles recents), droite (anciens)</t>
  </si>
  <si>
    <t xml:space="preserve">https://www.lg.com/africa_fr/support/aide-produit/CT40007876-20155091574353 ; https://www.lg.com/us/support/help-library/lg-refrigerator-how-to-find-my-lg-model-and-serial-number--20154743175875</t>
  </si>
  <si>
    <t xml:space="preserve">Whirlpool (fabrication Whirlpool)</t>
  </si>
  <si>
    <t xml:space="preserve">Whirlpool, Bauknecht, Ignis, Laden, une partie des appareils Ikea</t>
  </si>
  <si>
    <t xml:space="preserve">Lavage, froid, cuisson</t>
  </si>
  <si>
    <t xml:space="preserve">Code service 12NC, n. de serie</t>
  </si>
  <si>
    <t xml:space="preserve">Code service : 12 chiffres commencant par 85</t>
  </si>
  <si>
    <t xml:space="preserve">Plaque visible porte ouverte (lavage), paroi interieure (froid)</t>
  </si>
  <si>
    <t xml:space="preserve">Ikea : le fabricant reel varie selon le modele, le format de l'identifiant revele lequel. Activites europeennes de Whirlpool reprises par Beko Europe</t>
  </si>
  <si>
    <t xml:space="preserve">https://www.boulanger.com/ref/9000518317</t>
  </si>
  <si>
    <t xml:space="preserve">Source secondaire (distributeur)</t>
  </si>
  <si>
    <t xml:space="preserve">Ex-Indesit Company</t>
  </si>
  <si>
    <t xml:space="preserve">Indesit, Hotpoint, Ariston (electromenager), Scholtes</t>
  </si>
  <si>
    <t xml:space="preserve">Modele, code article, n. de serie</t>
  </si>
  <si>
    <t xml:space="preserve">Code article : F suivi de 6 chiffres (ex. F078786) ; productions recentes : code numerique a 12 chiffres</t>
  </si>
  <si>
    <t xml:space="preserve">Deux generations de formats coexistent dans le parc installe</t>
  </si>
  <si>
    <t xml:space="preserve">https://www.boulanger.com/ref/9000542389</t>
  </si>
  <si>
    <t xml:space="preserve">Source secondaire (a confirmer)</t>
  </si>
  <si>
    <t xml:space="preserve">Electrolux</t>
  </si>
  <si>
    <t xml:space="preserve">Electrolux, AEG, Zanussi, Faure, Arthur Martin</t>
  </si>
  <si>
    <t xml:space="preserve">Modele, PNC (code produit), n. de serie</t>
  </si>
  <si>
    <t xml:space="preserve">PNC numerique : longueur a confirmer avant d'en faire une regle de validation</t>
  </si>
  <si>
    <t xml:space="preserve">Cadre du hublot (lavage), chant de porte (lave-vaisselle), paroi interieure (froid)</t>
  </si>
  <si>
    <t xml:space="preserve">Le PNC est indispensable pour commander une piece detachee d'origine</t>
  </si>
  <si>
    <t xml:space="preserve">https://notices.underdog.shop/user-manuals/7332543124978-8da7de9f-4c2d-48eb-9c88-224de49afc0f.pdf</t>
  </si>
  <si>
    <t xml:space="preserve">Partiellement verifie (notice fabricant)</t>
  </si>
  <si>
    <t xml:space="preserve">Vaillant Group</t>
  </si>
  <si>
    <t xml:space="preserve">Saunier Duval, Vaillant</t>
  </si>
  <si>
    <t xml:space="preserve">Chaudieres, chauffe-eau, PAC</t>
  </si>
  <si>
    <t xml:space="preserve">Gamme et modele, n. de serie, puissance, annee</t>
  </si>
  <si>
    <t xml:space="preserve">Format propre au fabricant</t>
  </si>
  <si>
    <t xml:space="preserve">Chaudiere : sous le capot avant ou sur le flanc. Chauffe-eau : cote ou arriere</t>
  </si>
  <si>
    <t xml:space="preserve">Ne jamais deposer le capot d'un appareil gaz : relever la plaque lors de l'entretien annuel ou sur l'attestation</t>
  </si>
  <si>
    <t xml:space="preserve">https://selectra.info/energie/renovation-energetique/marque-chaudiere/saunier-duval</t>
  </si>
  <si>
    <t xml:space="preserve">Source secondaire</t>
  </si>
  <si>
    <t xml:space="preserve">PAC et climatisation (toutes marques)</t>
  </si>
  <si>
    <t xml:space="preserve">Daikin, Mitsubishi Electric, Atlantic, Panasonic, Toshiba, etc.</t>
  </si>
  <si>
    <t xml:space="preserve">Climatisation, PAC, chauffe-eau thermodynamique</t>
  </si>
  <si>
    <t xml:space="preserve">Modele, n. de serie, puissance, type de fluide, charge en kg et en t eq. CO2, mention hermetiquement scelle</t>
  </si>
  <si>
    <t xml:space="preserve">Charge x PRG du fluide = t eq. CO2 : seuil de controle d'etancheite a 5 t eq. CO2</t>
  </si>
  <si>
    <t xml:space="preserve">En residentiel, un equipement etiquete hermetiquement scelle contenant moins de 3 kg de gaz fluores est exempte de controle d'etancheite</t>
  </si>
  <si>
    <t xml:space="preserve">http://data.europa.eu/eli/reg/2024/573/oj ; https://oeil.europarl.europa.eu/oeil/fr/document-summary?id=1772308</t>
  </si>
  <si>
    <t xml:space="preserve">Verifie (texte reglementaire) ; emplacements generiques</t>
  </si>
  <si>
    <t xml:space="preserve">Beko Europe (Arcelik)</t>
  </si>
  <si>
    <t xml:space="preserve">Beko, Grundig</t>
  </si>
  <si>
    <t xml:space="preserve">Emplacements generiques par categorie</t>
  </si>
  <si>
    <t xml:space="preserve">Haier Europe</t>
  </si>
  <si>
    <t xml:space="preserve">Haier, Candy, Hoover, Rosieres</t>
  </si>
  <si>
    <t xml:space="preserve">Groupe Brandt</t>
  </si>
  <si>
    <t xml:space="preserve">Brandt, De Dietrich (electromenager), Sauter, Vedette</t>
  </si>
  <si>
    <t xml:space="preserve">Groupe Atlantic</t>
  </si>
  <si>
    <t xml:space="preserve">Atlantic, Thermor, Sauter (chauffage), Ygnis</t>
  </si>
  <si>
    <t xml:space="preserve">Chauffe-eau, PAC, radiateurs, chaudieres</t>
  </si>
  <si>
    <t xml:space="preserve">Chauffe-eau : enveloppe du ballon, pres du capot electrique</t>
  </si>
  <si>
    <t xml:space="preserve">Chauffage : autres fabricants</t>
  </si>
  <si>
    <t xml:space="preserve">Frisquet, De Dietrich thermique, Chappee, Elm Leblanc, Viessmann, Chaffoteaux</t>
  </si>
  <si>
    <t xml:space="preserve">Chaudieres, PAC</t>
  </si>
  <si>
    <t xml:space="preserve">Chaudiere : sous l'appareil ou derriere le capot</t>
  </si>
  <si>
    <t xml:space="preserve">Meme regle de securite que pour Vaillant Group : jamais de demontage du capot</t>
  </si>
  <si>
    <t xml:space="preserve">Poeles</t>
  </si>
  <si>
    <t xml:space="preserve">MCZ, Palazzetti, Edilkamin, Invicta, Supra</t>
  </si>
  <si>
    <t xml:space="preserve">Poeles a granules et a bois, inserts</t>
  </si>
  <si>
    <t xml:space="preserve">Groupe SEB (Rowenta, Moulinex, Krups, Tefal), De'Longhi, Dyson, Philips</t>
  </si>
  <si>
    <t xml:space="preserve">Cafe, aspirateurs, repassage</t>
  </si>
  <si>
    <t xml:space="preserve">Sous l'appareil</t>
  </si>
  <si>
    <t xml:space="preserve">Obligations reglementaires - logement en France</t>
  </si>
  <si>
    <t xml:space="preserve">Etat du droit verifie en septembre 2026. A revoir chaque annee : ces textes bougent souvent.</t>
  </si>
  <si>
    <t xml:space="preserve">Obligation</t>
  </si>
  <si>
    <t xml:space="preserve">Equipements concernes</t>
  </si>
  <si>
    <t xml:space="preserve">Texte de reference</t>
  </si>
  <si>
    <t xml:space="preserve">Frequence</t>
  </si>
  <si>
    <t xml:space="preserve">Qui est redevable</t>
  </si>
  <si>
    <t xml:space="preserve">Justificatif</t>
  </si>
  <si>
    <t xml:space="preserve">Sanction ou risque</t>
  </si>
  <si>
    <t xml:space="preserve">Amende maximale</t>
  </si>
  <si>
    <t xml:space="preserve">Assurance</t>
  </si>
  <si>
    <t xml:space="preserve">Responsabilite</t>
  </si>
  <si>
    <t xml:space="preserve">Danger</t>
  </si>
  <si>
    <t xml:space="preserve">Autre consequence</t>
  </si>
  <si>
    <t xml:space="preserve">L-01</t>
  </si>
  <si>
    <t xml:space="preserve">Entretien annuel des chaudieres 4-400 kW</t>
  </si>
  <si>
    <t xml:space="preserve">Chaudiere gaz, fioul, bois, charbon, multicombustible (CH-01, CH-02, CH-03, ECS-03)</t>
  </si>
  <si>
    <t xml:space="preserve">Decret n. 2009-649 du 09/06/2009 + arrete du 15/09/2009 ; C. env. art. R224-41-4 a R224-41-9</t>
  </si>
  <si>
    <t xml:space="preserve">Occupant pour les chaudieres individuelles ; proprietaire ou syndicat pour les collectives (sauf clause contraire du bail)</t>
  </si>
  <si>
    <t xml:space="preserve">Attestation d'entretien remise par le professionnel sous 15 jours, a conserver au moins 2 ans</t>
  </si>
  <si>
    <t xml:space="preserve">Pas d'amende directe, mais retenue possible sur le depot de garantie et reduction ou refus d'indemnisation par l'assureur en cas de sinistre</t>
  </si>
  <si>
    <t xml:space="preserve">https://www.service-public.gouv.fr/particuliers/vosdroits/F20760</t>
  </si>
  <si>
    <t xml:space="preserve">Indemnisation réduite ou refusée après un sinistre</t>
  </si>
  <si>
    <t xml:space="preserve">Retenue possible sur le dépôt de garantie (locataire)</t>
  </si>
  <si>
    <t xml:space="preserve">L-02</t>
  </si>
  <si>
    <t xml:space="preserve">Ramonage des conduits de fumee</t>
  </si>
  <si>
    <t xml:space="preserve">Tout conduit raccorde a un appareil a combustion : le conduit de fumee (CH-07) et la cheminee a foyer ouvert (CH-06)</t>
  </si>
  <si>
    <t xml:space="preserve">Decret n. 2023-641 du 20/07/2023 + arrete du 20/07/2023, en vigueur au 01/10/2023 ; Code de la sante publique</t>
  </si>
  <si>
    <t xml:space="preserve">1 ramonage mecanique tous les 12 mois minimum. 2e ramonage requis au-dela de 6 m3 de bois ou 2,5 t de granules consommes dans l'annee. Appareils collectifs : tous les 6 mois</t>
  </si>
  <si>
    <t xml:space="preserve">Occupant (decret n. 87-712 sur les reparations locatives) ; syndic pour les conduits collectifs</t>
  </si>
  <si>
    <t xml:space="preserve">Certificat de ramonage delivre par un professionnel qualifie, a conserver 5 ans</t>
  </si>
  <si>
    <t xml:space="preserve">Amende de 3e classe jusqu'a 450 EUR ; refus d'indemnisation en cas de feu de cheminee. Le ramonage chimique (buche) n'a aucune valeur juridique</t>
  </si>
  <si>
    <t xml:space="preserve">https://www.legifrance.gouv.fr/jorf/id/JORFTEXT000047867286</t>
  </si>
  <si>
    <t xml:space="preserve">Jusqu'à 450 €</t>
  </si>
  <si>
    <t xml:space="preserve">Refus d'indemnisation après un feu de cheminée</t>
  </si>
  <si>
    <t xml:space="preserve">Feu de conduit, intoxication au monoxyde de carbone</t>
  </si>
  <si>
    <t xml:space="preserve">Un ramonage chimique ne vaut pas preuve</t>
  </si>
  <si>
    <t xml:space="preserve">L-03</t>
  </si>
  <si>
    <t xml:space="preserve">Entretien des appareils a combustible solide</t>
  </si>
  <si>
    <t xml:space="preserve">Poele a granules, poele a bois, insert, foyer ferme, cuisiniere (CH-04, CH-05)</t>
  </si>
  <si>
    <t xml:space="preserve">Decret n. 2023-641 du 20/07/2023</t>
  </si>
  <si>
    <t xml:space="preserve">Tous les 12 mois pour les appareils individuels</t>
  </si>
  <si>
    <t xml:space="preserve">Occupant</t>
  </si>
  <si>
    <t xml:space="preserve">Non-conformite, difficultes avec l'assureur. Les foyers ouverts sont exemptes d'entretien mais restent soumis au ramonage</t>
  </si>
  <si>
    <t xml:space="preserve">Difficultés d'indemnisation après un sinistre</t>
  </si>
  <si>
    <t xml:space="preserve">Incendie, intoxication au monoxyde de carbone</t>
  </si>
  <si>
    <t xml:space="preserve">L-04</t>
  </si>
  <si>
    <t xml:space="preserve">Entretien des systemes thermodynamiques 4-70 kW</t>
  </si>
  <si>
    <t xml:space="preserve">PAC air/eau, air/air, geothermique, chauffe-eau thermodynamique, climatiseur, PAC de piscine (CH-08 a CH-10, ECS-02, CLIM-01, PIS-05)</t>
  </si>
  <si>
    <t xml:space="preserve">Decret n. 2020-912 du 28/07/2020 + arrete du 24/07/2020 ; C. env. art. R224-44 a R224-44-5</t>
  </si>
  <si>
    <t xml:space="preserve">Au moins tous les 2 ans</t>
  </si>
  <si>
    <t xml:space="preserve">Proprietaire ou occupant selon le bail</t>
  </si>
  <si>
    <t xml:space="preserve">Non-conformite ; perte de garantie constructeur frequente en l'absence d'entretien</t>
  </si>
  <si>
    <t xml:space="preserve">https://www.ecologie.gouv.fr/politiques-publiques/entretien-inspection-systemes-chauffage-climatisation</t>
  </si>
  <si>
    <t xml:space="preserve">Perte fréquente de la garantie constructeur</t>
  </si>
  <si>
    <t xml:space="preserve">L-05</t>
  </si>
  <si>
    <t xml:space="preserve">Inspection periodique des systemes &gt; 70 kW</t>
  </si>
  <si>
    <t xml:space="preserve">Systemes thermodynamiques et de ventilation combines a un chauffage par effet joule &gt; 70 kW</t>
  </si>
  <si>
    <t xml:space="preserve">Decret n. 2020-912 ; C. env. art. R224-45 a R224-45-9</t>
  </si>
  <si>
    <t xml:space="preserve">Au moins tous les 5 ans</t>
  </si>
  <si>
    <t xml:space="preserve">Proprietaire ou syndicat de copropriete</t>
  </si>
  <si>
    <t xml:space="preserve">Rapport d'inspection</t>
  </si>
  <si>
    <t xml:space="preserve">Non-conformite. Concerne surtout le collectif et le tertiaire</t>
  </si>
  <si>
    <t xml:space="preserve">Non-conformité (surtout en collectif et tertiaire)</t>
  </si>
  <si>
    <t xml:space="preserve">L-06</t>
  </si>
  <si>
    <t xml:space="preserve">Controle d'etancheite des fluides frigorigenes</t>
  </si>
  <si>
    <t xml:space="preserve">Tout equipement dont la charge atteint 5 tonnes equivalent CO2 (CLIM-03)</t>
  </si>
  <si>
    <t xml:space="preserve">Reglement (UE) 2024/573 du 07/02/2024 dit F-Gas, applicable depuis le 11/03/2024 (abroge le reglement 517/2014)</t>
  </si>
  <si>
    <t xml:space="preserve">Tous les 12 mois pour 5 a 50 t CO2 eq (frequence resserree au-dela). En residentiel, exemption pour un equipement etiquete hermetiquement scelle contenant moins de 3 kg</t>
  </si>
  <si>
    <t xml:space="preserve">Exploitant / proprietaire de l'equipement</t>
  </si>
  <si>
    <t xml:space="preserve">Fiche d'intervention CERFA 15497, operateur titulaire d'une attestation de capacite</t>
  </si>
  <si>
    <t xml:space="preserve">Sanction administrative ; impact climatique (le R410A a un pouvoir de rechauffement environ 2000 fois celui du CO2)</t>
  </si>
  <si>
    <t xml:space="preserve">http://data.europa.eu/eli/reg/2024/573/oj</t>
  </si>
  <si>
    <t xml:space="preserve">Sanction administrative</t>
  </si>
  <si>
    <t xml:space="preserve">Fuite d'un gaz à fort effet de serre</t>
  </si>
  <si>
    <t xml:space="preserve">L-07</t>
  </si>
  <si>
    <t xml:space="preserve">Detecteur autonome avertisseur de fumee (DAAF)</t>
  </si>
  <si>
    <t xml:space="preserve">Tout logement (SEC-01)</t>
  </si>
  <si>
    <t xml:space="preserve">Loi n. 2010-238 du 09/03/2010 ; CCH art. R129-12 a R129-15</t>
  </si>
  <si>
    <t xml:space="preserve">Installation par le proprietaire ; entretien, test et remplacement des piles par l'occupant ; appareil a remplacer au bout de 10 ans</t>
  </si>
  <si>
    <t xml:space="preserve">Proprietaire pour la fourniture et l'installation, occupant pour l'entretien</t>
  </si>
  <si>
    <t xml:space="preserve">Pas d'amende prevue, mais l'assureur peut opposer le defaut d'installation</t>
  </si>
  <si>
    <t xml:space="preserve">https://www.service-public.gouv.fr/particuliers/vosdroits/F19871</t>
  </si>
  <si>
    <t xml:space="preserve">L'assureur peut opposer l'absence de détecteur</t>
  </si>
  <si>
    <t xml:space="preserve">Incendie non détecté</t>
  </si>
  <si>
    <t xml:space="preserve">L-08</t>
  </si>
  <si>
    <t xml:space="preserve">Securite des piscines privatives enterrees</t>
  </si>
  <si>
    <t xml:space="preserve">Piscine enterree ou semi-enterree non close, a usage individuel ou collectif (PIS-01, PIS-07)</t>
  </si>
  <si>
    <t xml:space="preserve">Loi n. 2003-9 du 03/01/2003 ; CCH art. L128-1 et R128-1</t>
  </si>
  <si>
    <t xml:space="preserve">Dispositif normalise en place en permanence : barriere NF P90-306, alarme NF P90-307, couverture NF P90-308 ou abri NF P90-309</t>
  </si>
  <si>
    <t xml:space="preserve">Proprietaire</t>
  </si>
  <si>
    <t xml:space="preserve">Attestation de conformite du dispositif, note technique du constructeur</t>
  </si>
  <si>
    <t xml:space="preserve">Amende jusqu'a 45 000 EUR ; responsabilite penale en cas de noyade</t>
  </si>
  <si>
    <t xml:space="preserve">https://www.service-public.gouv.fr/particuliers/vosdroits/F2062</t>
  </si>
  <si>
    <t xml:space="preserve">Jusqu'à 45 000 €</t>
  </si>
  <si>
    <t xml:space="preserve">Pénale en cas de noyade</t>
  </si>
  <si>
    <t xml:space="preserve">Noyade d'enfant</t>
  </si>
  <si>
    <t xml:space="preserve">L-09</t>
  </si>
  <si>
    <t xml:space="preserve">Controle de l'assainissement non collectif</t>
  </si>
  <si>
    <t xml:space="preserve">Fosse toutes eaux, fosse septique, micro-station (ASS-01, ASS-02)</t>
  </si>
  <si>
    <t xml:space="preserve">Code de la sante publique art. L1331-1-1 ; arretes du 27/04/2012 et du 07/09/2009</t>
  </si>
  <si>
    <t xml:space="preserve">Controle periodique du SPANC au moins tous les 10 ans (la commune peut imposer un intervalle plus court, souvent 4 a 8 ans). Vidange des que les boues atteignent 50% du volume utile</t>
  </si>
  <si>
    <t xml:space="preserve">Rapport de visite du SPANC ; bordereau de suivi des matieres de vidange par un vidangeur agree</t>
  </si>
  <si>
    <t xml:space="preserve">Mise en demeure, travaux imposes sous 4 ans, majoration de la redevance jusqu'a 100%. A la vente, rapport de moins de 3 ans obligatoire</t>
  </si>
  <si>
    <t xml:space="preserve">https://www.service-public.gouv.fr/particuliers/vosdroits/F1400</t>
  </si>
  <si>
    <t xml:space="preserve">Travaux imposés sous 4 ans, redevance majorée jusqu'à 100 %, rapport exigé à la vente</t>
  </si>
  <si>
    <t xml:space="preserve">L-10</t>
  </si>
  <si>
    <t xml:space="preserve">Declaration des puits et forages domestiques</t>
  </si>
  <si>
    <t xml:space="preserve">Puits, forage, captage prive (EAU-05)</t>
  </si>
  <si>
    <t xml:space="preserve">CGCT art. L2224-9 ; decret n. 2008-652 du 02/07/2008</t>
  </si>
  <si>
    <t xml:space="preserve">Declaration en mairie avant travaux et a l'achevement ; controle si l'ouvrage est relie au reseau interieur</t>
  </si>
  <si>
    <t xml:space="preserve">Recepisse de declaration (CERFA 13837)</t>
  </si>
  <si>
    <t xml:space="preserve">Amende ; obligation de deconnexion du reseau</t>
  </si>
  <si>
    <t xml:space="preserve">https://www.service-public.gouv.fr/particuliers/vosdroits/F31864</t>
  </si>
  <si>
    <t xml:space="preserve">Amende possible</t>
  </si>
  <si>
    <t xml:space="preserve">Déconnexion du réseau exigée</t>
  </si>
  <si>
    <t xml:space="preserve">L-11</t>
  </si>
  <si>
    <t xml:space="preserve">Installation interieure de gaz de plus de 15 ans (ENE-06)</t>
  </si>
  <si>
    <t xml:space="preserve">CCH art. L271-4 ; arrete du 06/04/2007</t>
  </si>
  <si>
    <t xml:space="preserve">A la vente : validite 3 ans. En location : validite 6 ans</t>
  </si>
  <si>
    <t xml:space="preserve">Vendeur ou bailleur</t>
  </si>
  <si>
    <t xml:space="preserve">Diagnostic realise par un diagnostiqueur certifie</t>
  </si>
  <si>
    <t xml:space="preserve">Responsabilite du vendeur pour vice cache si le diagnostic est absent ou errone</t>
  </si>
  <si>
    <t xml:space="preserve">https://www.service-public.gouv.fr/particuliers/vosdroits/F16158</t>
  </si>
  <si>
    <t xml:space="preserve">Civile (vice caché) à la vente</t>
  </si>
  <si>
    <t xml:space="preserve">Vente ou location sans diagnostic valide</t>
  </si>
  <si>
    <t xml:space="preserve">L-12</t>
  </si>
  <si>
    <t xml:space="preserve">Diagnostic de l'installation interieure d'electricite</t>
  </si>
  <si>
    <t xml:space="preserve">Installation electrique de plus de 15 ans (ENE-05)</t>
  </si>
  <si>
    <t xml:space="preserve">CCH art. L271-4 ; decret n. 2008-384</t>
  </si>
  <si>
    <t xml:space="preserve">Responsabilite du vendeur pour vice cache</t>
  </si>
  <si>
    <t xml:space="preserve">L-13</t>
  </si>
  <si>
    <t xml:space="preserve">Entretien et controle technique des ascenseurs</t>
  </si>
  <si>
    <t xml:space="preserve">Ascenseur privatif, ascenseur d'immeuble, monte-charge accessible (SEC-07)</t>
  </si>
  <si>
    <t xml:space="preserve">CCH art. L125-2-2 et R125-2 ; decret n. 2004-964 du 09/09/2004</t>
  </si>
  <si>
    <t xml:space="preserve">Contrat d'entretien obligatoire ; visite au moins toutes les 6 semaines ; controle technique quinquennal par un organisme agree</t>
  </si>
  <si>
    <t xml:space="preserve">Carnet d'entretien tenu a jour + rapport de controle technique</t>
  </si>
  <si>
    <t xml:space="preserve">Responsabilite civile et penale en cas d'accident ; mise a l'arret possible</t>
  </si>
  <si>
    <t xml:space="preserve">https://www.service-public.gouv.fr/particuliers/vosdroits/F2058</t>
  </si>
  <si>
    <t xml:space="preserve">Civile et pénale en cas d'accident</t>
  </si>
  <si>
    <t xml:space="preserve">Accident</t>
  </si>
  <si>
    <t xml:space="preserve">Mise à l'arrêt possible</t>
  </si>
  <si>
    <t xml:space="preserve">L-14</t>
  </si>
  <si>
    <t xml:space="preserve">Tuyau flexible de raccordement gaz</t>
  </si>
  <si>
    <t xml:space="preserve">Flexible d'appareil de cuisson ou de chauffage au gaz (CUIS-04, JAR-06)</t>
  </si>
  <si>
    <t xml:space="preserve">Arrete du 02/08/1977 modifie ; normes NF D 36-100 / 36-103</t>
  </si>
  <si>
    <t xml:space="preserve">Remplacement imperatif a la date de peremption imprimee sur le flexible (5 a 10 ans selon le type)</t>
  </si>
  <si>
    <t xml:space="preserve">Date lisible sur la bague du flexible</t>
  </si>
  <si>
    <t xml:space="preserve">Fuite de gaz ; l'assureur peut opposer le defaut d'entretien apres un sinistre</t>
  </si>
  <si>
    <t xml:space="preserve">https://www.grdf.fr/particuliers/securite-gaz</t>
  </si>
  <si>
    <t xml:space="preserve">L'assureur peut opposer le défaut d'entretien</t>
  </si>
  <si>
    <t xml:space="preserve">Fuite de gaz, explosion</t>
  </si>
  <si>
    <t xml:space="preserve">L-15</t>
  </si>
  <si>
    <t xml:space="preserve">Portails et portes automatiques en collectif</t>
  </si>
  <si>
    <t xml:space="preserve">Portail ou porte de garage motorise desservant des parties communes (OUV-01, OUV-02)</t>
  </si>
  <si>
    <t xml:space="preserve">Arrete du 21/12/1993 relatif aux portes automatiques de garage des batiments d'habitation</t>
  </si>
  <si>
    <t xml:space="preserve">Visite d'entretien au moins tous les 6 mois par un professionnel</t>
  </si>
  <si>
    <t xml:space="preserve">Livret d'entretien</t>
  </si>
  <si>
    <t xml:space="preserve">Responsabilite en cas d'accident ; les installations individuelles ne sont pas soumises a cette obligation</t>
  </si>
  <si>
    <t xml:space="preserve">https://www.legifrance.gouv.fr/loda/id/JORFTEXT000000366318</t>
  </si>
  <si>
    <t xml:space="preserve">En cas d'accident</t>
  </si>
  <si>
    <t xml:space="preserve">Écrasement</t>
  </si>
  <si>
    <t xml:space="preserve">Concerne uniquement le collectif</t>
  </si>
  <si>
    <t xml:space="preserve">L-16</t>
  </si>
  <si>
    <t xml:space="preserve">Ravalement de facade</t>
  </si>
  <si>
    <t xml:space="preserve">Facade sur voie publique (BAT-03)</t>
  </si>
  <si>
    <t xml:space="preserve">CCH art. L132-1 a L132-5 : obligation applicable dans les communes ayant pris un arrete</t>
  </si>
  <si>
    <t xml:space="preserve">Generalement tous les 10 ans lorsque la commune a etabli une liste</t>
  </si>
  <si>
    <t xml:space="preserve">Injonction municipale, puis execution d'office aux frais du proprietaire</t>
  </si>
  <si>
    <t xml:space="preserve">https://www.service-public.gouv.fr/particuliers/vosdroits/F2076</t>
  </si>
  <si>
    <t xml:space="preserve">Travaux exécutés d'office aux frais du propriétaire</t>
  </si>
  <si>
    <t xml:space="preserve">L-17</t>
  </si>
  <si>
    <t xml:space="preserve">Usage domestique de l'eau de pluie</t>
  </si>
  <si>
    <t xml:space="preserve">Recuperateur alimentant des usages interieurs, WC ou lave-linge (EAU-06)</t>
  </si>
  <si>
    <t xml:space="preserve">Arrete du 21/08/2008 relatif a la recuperation des eaux de pluie</t>
  </si>
  <si>
    <t xml:space="preserve">Entretien semestriel du filtre, controle annuel de la cuve, carnet sanitaire tenu a jour, declaration en mairie si rejet au reseau collectif</t>
  </si>
  <si>
    <t xml:space="preserve">Carnet sanitaire + declaration d'usage</t>
  </si>
  <si>
    <t xml:space="preserve">Non-conformite en cas de controle ; risque de contamination du reseau d'eau potable</t>
  </si>
  <si>
    <t xml:space="preserve">https://www.service-public.gouv.fr/particuliers/vosdroits/F31699</t>
  </si>
  <si>
    <t xml:space="preserve">Contamination du réseau d'eau potable</t>
  </si>
  <si>
    <t xml:space="preserve">Non-conformité en cas de contrôle</t>
  </si>
  <si>
    <t xml:space="preserve">L-18</t>
  </si>
  <si>
    <t xml:space="preserve">Protection du reseau d'eau potable (disconnecteur)</t>
  </si>
  <si>
    <t xml:space="preserve">Arrosage, recuperateur ou piscine raccordes au reseau public (EAU-03)</t>
  </si>
  <si>
    <t xml:space="preserve">Arrete du 17/03/2004 ; reglement du service des eaux</t>
  </si>
  <si>
    <t xml:space="preserve">Controle annuel du dispositif de protection</t>
  </si>
  <si>
    <t xml:space="preserve">Proprietaire / abonne</t>
  </si>
  <si>
    <t xml:space="preserve">Responsabilite civile et penale en cas de contamination du reseau public</t>
  </si>
  <si>
    <t xml:space="preserve">Civile et pénale en cas de contamination</t>
  </si>
  <si>
    <t xml:space="preserve">Contamination du réseau public</t>
  </si>
  <si>
    <t xml:space="preserve">L-19</t>
  </si>
  <si>
    <t xml:space="preserve">Cuve a fioul enterree ou aerienne</t>
  </si>
  <si>
    <t xml:space="preserve">Stockage de produits petroliers a usage domestique (CH-15)</t>
  </si>
  <si>
    <t xml:space="preserve">Arrete du 01/07/2004 relatif au stockage de produits petroliers</t>
  </si>
  <si>
    <t xml:space="preserve">Controle d'etancheite periodique selon le type de cuve ; nettoyage recommande tous les 5 a 10 ans</t>
  </si>
  <si>
    <t xml:space="preserve">Rapport de controle d'etancheite</t>
  </si>
  <si>
    <t xml:space="preserve">Depollution des sols a la charge integrale du proprietaire en cas de fuite</t>
  </si>
  <si>
    <t xml:space="preserve">https://www.service-public.gouv.fr/particuliers/vosdroits/F31865</t>
  </si>
  <si>
    <t xml:space="preserve">Pollution des sols</t>
  </si>
  <si>
    <t xml:space="preserve">Dépollution à la charge intégrale du propriétaire</t>
  </si>
  <si>
    <t xml:space="preserve">L-20</t>
  </si>
  <si>
    <t xml:space="preserve">Controle technique des vehicules</t>
  </si>
  <si>
    <t xml:space="preserve">Voiture particuliere (VEH-01)</t>
  </si>
  <si>
    <t xml:space="preserve">Premier controle dans les 6 mois precedant le 4e anniversaire de la premiere immatriculation, puis tous les 2 ans</t>
  </si>
  <si>
    <t xml:space="preserve">Proprietaire du vehicule</t>
  </si>
  <si>
    <t xml:space="preserve">Amende de 135 EUR, immobilisation possible du vehicule</t>
  </si>
  <si>
    <t xml:space="preserve">https://www.service-public.gouv.fr/particuliers/vosdroits/F2878</t>
  </si>
  <si>
    <t xml:space="preserve">135 €</t>
  </si>
  <si>
    <t xml:space="preserve">Immobilisation possible du véhicule</t>
  </si>
  <si>
    <t xml:space="preserve">L-21</t>
  </si>
  <si>
    <t xml:space="preserve">Controle technique des deux-roues, trois-roues et quadricycles motorises</t>
  </si>
  <si>
    <t xml:space="preserve">Vehicules de categorie L : motos, scooters, cyclomoteurs, quadricycles (VEH-02). Les velos a assistance electrique ne sont pas concernes</t>
  </si>
  <si>
    <t xml:space="preserve">Decret n. 2023-974 du 23/10/2023 ; arrete du 23/10/2023</t>
  </si>
  <si>
    <t xml:space="preserve">Vehicules immatricules depuis 2022 : premier controle entre 4 ans et demi et 5 ans apres la mise en circulation, puis tous les 3 ans. Vehicules plus anciens : calendrier transitoire selon l'annee d'immatriculation</t>
  </si>
  <si>
    <t xml:space="preserve">https://www.service-public.gouv.fr/particuliers/actualites/A16861 ; https://www.info.gouv.fr/actualite/controle-technique-obligatoire-pour-les-deux-roues</t>
  </si>
  <si>
    <t xml:space="preserve">Nomenclatures pour le modele de donnees</t>
  </si>
  <si>
    <t xml:space="preserve">Valeurs a reprendre telles quelles dans les tables de l'application.</t>
  </si>
  <si>
    <t xml:space="preserve">Table</t>
  </si>
  <si>
    <t xml:space="preserve">Libelle</t>
  </si>
  <si>
    <t xml:space="preserve">Commentaire</t>
  </si>
  <si>
    <t xml:space="preserve">kitchen</t>
  </si>
  <si>
    <t xml:space="preserve">laundry</t>
  </si>
  <si>
    <t xml:space="preserve">heating_cooling</t>
  </si>
  <si>
    <t xml:space="preserve">small_appliances</t>
  </si>
  <si>
    <t xml:space="preserve">electronics</t>
  </si>
  <si>
    <t xml:space="preserve">Pas de plan d'entretien : garantie et documents</t>
  </si>
  <si>
    <t xml:space="preserve">garden_pool</t>
  </si>
  <si>
    <t xml:space="preserve">home_safety</t>
  </si>
  <si>
    <t xml:space="preserve">energy</t>
  </si>
  <si>
    <t xml:space="preserve">vehicles</t>
  </si>
  <si>
    <t xml:space="preserve">v1 : garantie, documents, controle technique ; revisions au kilometrage plus tard</t>
  </si>
  <si>
    <t xml:space="preserve">other</t>
  </si>
  <si>
    <t xml:space="preserve">TypeIntervenant</t>
  </si>
  <si>
    <t xml:space="preserve">diy</t>
  </si>
  <si>
    <t xml:space="preserve">Realisable par l'occupant</t>
  </si>
  <si>
    <t xml:space="preserve">Eligible au palier gratuit</t>
  </si>
  <si>
    <t xml:space="preserve">pro</t>
  </si>
  <si>
    <t xml:space="preserve">Professionnel requis</t>
  </si>
  <si>
    <t xml:space="preserve">Matiere premiere du palier Care</t>
  </si>
  <si>
    <t xml:space="preserve">pro_certifie</t>
  </si>
  <si>
    <t xml:space="preserve">Professionnel certifie</t>
  </si>
  <si>
    <t xml:space="preserve">Fluides frigorigenes, gaz, ascenseur, ramonage</t>
  </si>
  <si>
    <t xml:space="preserve">RegleFrequence</t>
  </si>
  <si>
    <t xml:space="preserve">every_n_months</t>
  </si>
  <si>
    <t xml:space="preserve">Tous les N mois</t>
  </si>
  <si>
    <t xml:space="preserve">Couvre la quasi-totalite des cas</t>
  </si>
  <si>
    <t xml:space="preserve">season_anchor</t>
  </si>
  <si>
    <t xml:space="preserve">Ancree sur une saison</t>
  </si>
  <si>
    <t xml:space="preserve">Ex. avant la saison de chauffe</t>
  </si>
  <si>
    <t xml:space="preserve">per_use</t>
  </si>
  <si>
    <t xml:space="preserve">A chaque utilisation</t>
  </si>
  <si>
    <t xml:space="preserve">Filtre de seche-linge, prefiltre de pompe</t>
  </si>
  <si>
    <t xml:space="preserve">threshold</t>
  </si>
  <si>
    <t xml:space="preserve">Sur seuil mesure</t>
  </si>
  <si>
    <t xml:space="preserve">Taux de boues, consommation de bois, date de peremption</t>
  </si>
  <si>
    <t xml:space="preserve">StatutTache</t>
  </si>
  <si>
    <t xml:space="preserve">a_venir</t>
  </si>
  <si>
    <t xml:space="preserve">A venir</t>
  </si>
  <si>
    <t xml:space="preserve">due</t>
  </si>
  <si>
    <t xml:space="preserve">Echue</t>
  </si>
  <si>
    <t xml:space="preserve">en_retard</t>
  </si>
  <si>
    <t xml:space="preserve">En retard</t>
  </si>
  <si>
    <t xml:space="preserve">Declencheur de relance et, si Care, de proposition d'intervention</t>
  </si>
  <si>
    <t xml:space="preserve">faite</t>
  </si>
  <si>
    <t xml:space="preserve">Realisee</t>
  </si>
  <si>
    <t xml:space="preserve">Horodatee, alimente l'historique d'entretien</t>
  </si>
  <si>
    <t xml:space="preserve">reportee</t>
  </si>
  <si>
    <t xml:space="preserve">Reportee</t>
  </si>
  <si>
    <t xml:space="preserve">Limiter les reports successifs sur les taches legales</t>
  </si>
  <si>
    <t xml:space="preserve">non_applicable</t>
  </si>
  <si>
    <t xml:space="preserve">Non applicable</t>
  </si>
  <si>
    <t xml:space="preserve">L'utilisateur declare ne pas etre concerne</t>
  </si>
  <si>
    <t xml:space="preserve">gratuit</t>
  </si>
  <si>
    <t xml:space="preserve">Inventaire, rappels, mode operatoire</t>
  </si>
  <si>
    <t xml:space="preserve">plus</t>
  </si>
  <si>
    <t xml:space="preserve">Multi-biens, coffre-fort de documents, historique exportable</t>
  </si>
  <si>
    <t xml:space="preserve">care</t>
  </si>
  <si>
    <t xml:space="preserve">Interventions a domicile programmees</t>
  </si>
  <si>
    <t xml:space="preserve">TypeJustificatif</t>
  </si>
  <si>
    <t xml:space="preserve">attestation_entretien</t>
  </si>
  <si>
    <t xml:space="preserve">Chaudiere, PAC, appareil a combustible solide</t>
  </si>
  <si>
    <t xml:space="preserve">certificat_ramonage</t>
  </si>
  <si>
    <t xml:space="preserve">A conserver 5 ans</t>
  </si>
  <si>
    <t xml:space="preserve">bordereau_vidange</t>
  </si>
  <si>
    <t xml:space="preserve">Bordereau de suivi de vidange</t>
  </si>
  <si>
    <t xml:space="preserve">Assainissement non collectif</t>
  </si>
  <si>
    <t xml:space="preserve">rapport_controle</t>
  </si>
  <si>
    <t xml:space="preserve">SPANC, ascenseur, disconnecteur, cuve</t>
  </si>
  <si>
    <t xml:space="preserve">diagnostic</t>
  </si>
  <si>
    <t xml:space="preserve">Diagnostic reglementaire</t>
  </si>
  <si>
    <t xml:space="preserve">Gaz, electricite, termites</t>
  </si>
  <si>
    <t xml:space="preserve">facture</t>
  </si>
  <si>
    <t xml:space="preserve">Preuve d'entretien a defaut d'attestation</t>
  </si>
  <si>
    <t xml:space="preserve">attestation_conformite</t>
  </si>
  <si>
    <t xml:space="preserve">Dispositif de securite piscine</t>
  </si>
  <si>
    <t xml:space="preserve">TypeBien</t>
  </si>
  <si>
    <t xml:space="preserve">residence_principale</t>
  </si>
  <si>
    <t xml:space="preserve">Residence principale</t>
  </si>
  <si>
    <t xml:space="preserve">residence_secondaire</t>
  </si>
  <si>
    <t xml:space="preserve">Residence secondaire</t>
  </si>
  <si>
    <t xml:space="preserve">Hivernage et remise en service structurants</t>
  </si>
  <si>
    <t xml:space="preserve">location_courte_duree</t>
  </si>
  <si>
    <t xml:space="preserve">Location courte duree</t>
  </si>
  <si>
    <t xml:space="preserve">Cible d'amorcage : plusieurs biens, panne = nuitee perdue</t>
  </si>
  <si>
    <t xml:space="preserve">location_longue_duree</t>
  </si>
  <si>
    <t xml:space="preserve">Location longue duree</t>
  </si>
  <si>
    <t xml:space="preserve">Repartition proprietaire / locataire a gerer</t>
  </si>
  <si>
    <t xml:space="preserve">CiblePhoto</t>
  </si>
  <si>
    <t xml:space="preserve">plaque</t>
  </si>
  <si>
    <t xml:space="preserve">Identite de l'appareil, puissance, fluide</t>
  </si>
  <si>
    <t xml:space="preserve">etiquette_datee</t>
  </si>
  <si>
    <t xml:space="preserve">Flexible gaz, DAAF, detecteur CO, extincteur : la date suffit a creer le rappel</t>
  </si>
  <si>
    <t xml:space="preserve">cadran</t>
  </si>
  <si>
    <t xml:space="preserve">Compteur : releve d'index</t>
  </si>
  <si>
    <t xml:space="preserve">document</t>
  </si>
  <si>
    <t xml:space="preserve">Certificat, rapport, facture quand l'equipement n'a pas de plaque</t>
  </si>
  <si>
    <t xml:space="preserve">aucune</t>
  </si>
  <si>
    <t xml:space="preserve">Ajout par categorie seule</t>
  </si>
  <si>
    <t xml:space="preserve">StatutSource</t>
  </si>
  <si>
    <t xml:space="preserve">verifie</t>
  </si>
  <si>
    <t xml:space="preserve">Verifie</t>
  </si>
  <si>
    <t xml:space="preserve">Source officielle du fabricant ou texte reglementaire</t>
  </si>
  <si>
    <t xml:space="preserve">source_secondaire</t>
  </si>
  <si>
    <t xml:space="preserve">Distributeur ou comparateur : a confirmer</t>
  </si>
  <si>
    <t xml:space="preserve">a_documenter</t>
  </si>
  <si>
    <t xml:space="preserve">Repli sur l'emplacement generique de la categorie</t>
  </si>
  <si>
    <t xml:space="preserve">PrioriteMVP</t>
  </si>
  <si>
    <t xml:space="preserve">1</t>
  </si>
  <si>
    <t xml:space="preserve">Indispensable au lancement</t>
  </si>
  <si>
    <t xml:space="preserve">Obligation legale ou risque materiel eleve</t>
  </si>
  <si>
    <t xml:space="preserve">2</t>
  </si>
  <si>
    <t xml:space="preserve">Deuxieme vague</t>
  </si>
  <si>
    <t xml:space="preserve">3</t>
  </si>
  <si>
    <t xml:space="preserve">Confort</t>
  </si>
  <si>
    <t xml:space="preserve">A traiter quand le catalogue est stabilise</t>
  </si>
</sst>
</file>

<file path=xl/styles.xml><?xml version="1.0" encoding="utf-8"?>
<styleSheet xmlns="http://schemas.openxmlformats.org/spreadsheetml/2006/main">
  <numFmts count="3">
    <numFmt numFmtId="164" formatCode="General"/>
    <numFmt numFmtId="165" formatCode="General"/>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9"/>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s>
  <fills count="7">
    <fill>
      <patternFill patternType="none"/>
    </fill>
    <fill>
      <patternFill patternType="gray125"/>
    </fill>
    <fill>
      <patternFill patternType="solid">
        <fgColor rgb="FFFFF2CC"/>
        <bgColor rgb="FFF2F2F2"/>
      </patternFill>
    </fill>
    <fill>
      <patternFill patternType="solid">
        <fgColor rgb="FFE2EFDA"/>
        <bgColor rgb="FFF2F2F2"/>
      </patternFill>
    </fill>
    <fill>
      <patternFill patternType="solid">
        <fgColor rgb="FFD9E2F3"/>
        <bgColor rgb="FFE2EFDA"/>
      </patternFill>
    </fill>
    <fill>
      <patternFill patternType="solid">
        <fgColor rgb="FF1F3864"/>
        <bgColor rgb="FF333333"/>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center" vertical="top" textRotation="0" wrapText="true" indent="0" shrinkToFit="false"/>
      <protection locked="true" hidden="false"/>
    </xf>
    <xf numFmtId="166"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center"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D9E2F3"/>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105"/>
  </cols>
  <sheetData>
    <row r="2" customFormat="false" ht="19.7" hidden="false" customHeight="false" outlineLevel="0" collapsed="false">
      <c r="B2" s="1" t="s">
        <v>0</v>
      </c>
    </row>
    <row r="3" customFormat="false" ht="15" hidden="false" customHeight="false" outlineLevel="0" collapsed="false">
      <c r="B3" s="2" t="s">
        <v>1</v>
      </c>
    </row>
    <row r="5" customFormat="false" ht="42" hidden="false" customHeight="true" outlineLevel="0" collapsed="false">
      <c r="B5" s="3" t="s">
        <v>2</v>
      </c>
      <c r="C5" s="4" t="s">
        <v>3</v>
      </c>
    </row>
    <row r="6" customFormat="false" ht="42" hidden="false" customHeight="true" outlineLevel="0" collapsed="false">
      <c r="B6" s="3" t="s">
        <v>4</v>
      </c>
      <c r="C6" s="4" t="s">
        <v>5</v>
      </c>
    </row>
    <row r="7" customFormat="false" ht="42" hidden="false" customHeight="true" outlineLevel="0" collapsed="false">
      <c r="B7" s="3" t="s">
        <v>6</v>
      </c>
      <c r="C7" s="4" t="s">
        <v>7</v>
      </c>
    </row>
    <row r="8" customFormat="false" ht="42" hidden="false" customHeight="true" outlineLevel="0" collapsed="false">
      <c r="B8" s="3" t="s">
        <v>8</v>
      </c>
      <c r="C8" s="4" t="s">
        <v>9</v>
      </c>
    </row>
    <row r="9" customFormat="false" ht="42" hidden="false" customHeight="true" outlineLevel="0" collapsed="false">
      <c r="B9" s="3" t="s">
        <v>10</v>
      </c>
      <c r="C9" s="4" t="s">
        <v>11</v>
      </c>
    </row>
    <row r="10" customFormat="false" ht="42" hidden="false" customHeight="true" outlineLevel="0" collapsed="false">
      <c r="B10" s="3" t="s">
        <v>12</v>
      </c>
      <c r="C10" s="4" t="s">
        <v>13</v>
      </c>
    </row>
    <row r="11" customFormat="false" ht="42" hidden="false" customHeight="true" outlineLevel="0" collapsed="false">
      <c r="B11" s="3" t="s">
        <v>14</v>
      </c>
      <c r="C11" s="4" t="s">
        <v>15</v>
      </c>
    </row>
    <row r="12" customFormat="false" ht="42" hidden="false" customHeight="true" outlineLevel="0" collapsed="false">
      <c r="B12" s="3" t="s">
        <v>16</v>
      </c>
      <c r="C12" s="4" t="s">
        <v>17</v>
      </c>
    </row>
    <row r="13" customFormat="false" ht="42" hidden="false" customHeight="true" outlineLevel="0" collapsed="false">
      <c r="B13" s="3" t="s">
        <v>18</v>
      </c>
      <c r="C13" s="4" t="s">
        <v>19</v>
      </c>
    </row>
    <row r="15" customFormat="false" ht="15" hidden="false" customHeight="false" outlineLevel="0" collapsed="false">
      <c r="B15" s="3" t="s">
        <v>20</v>
      </c>
    </row>
    <row r="16" customFormat="false" ht="15" hidden="false" customHeight="false" outlineLevel="0" collapsed="false">
      <c r="B16" s="5" t="s">
        <v>21</v>
      </c>
      <c r="C16" s="4" t="s">
        <v>22</v>
      </c>
    </row>
    <row r="17" customFormat="false" ht="15" hidden="false" customHeight="false" outlineLevel="0" collapsed="false">
      <c r="B17" s="6" t="s">
        <v>23</v>
      </c>
      <c r="C17" s="4" t="s">
        <v>24</v>
      </c>
    </row>
    <row r="18" customFormat="false" ht="15" hidden="false" customHeight="false" outlineLevel="0" collapsed="false">
      <c r="B18" s="7" t="s">
        <v>25</v>
      </c>
      <c r="C18" s="4" t="s">
        <v>26</v>
      </c>
    </row>
    <row r="20" customFormat="false" ht="15" hidden="false" customHeight="false" outlineLevel="0" collapsed="false">
      <c r="B20" s="3" t="s">
        <v>27</v>
      </c>
    </row>
    <row r="21" customFormat="false" ht="30" hidden="false" customHeight="true" outlineLevel="0" collapsed="false">
      <c r="C21" s="8" t="s">
        <v>28</v>
      </c>
    </row>
    <row r="22" customFormat="false" ht="30" hidden="false" customHeight="true" outlineLevel="0" collapsed="false">
      <c r="C22" s="8" t="s">
        <v>29</v>
      </c>
    </row>
    <row r="23" customFormat="false" ht="30" hidden="false" customHeight="true" outlineLevel="0" collapsed="false">
      <c r="C23" s="8" t="s">
        <v>30</v>
      </c>
    </row>
    <row r="24" customFormat="false" ht="30" hidden="false" customHeight="true" outlineLevel="0" collapsed="false">
      <c r="C24" s="8" t="s">
        <v>31</v>
      </c>
    </row>
    <row r="25" customFormat="false" ht="30" hidden="false" customHeight="true" outlineLevel="0" collapsed="false">
      <c r="C25" s="8"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6"/>
    <col collapsed="false" customWidth="true" hidden="false" outlineLevel="0" max="5" min="5" style="0" width="38"/>
    <col collapsed="false" customWidth="true" hidden="false" outlineLevel="0" max="7" min="6" style="0" width="16"/>
  </cols>
  <sheetData>
    <row r="2" customFormat="false" ht="19.7" hidden="false" customHeight="false" outlineLevel="0" collapsed="false">
      <c r="B2" s="1" t="s">
        <v>33</v>
      </c>
    </row>
    <row r="3" customFormat="false" ht="15" hidden="false" customHeight="false" outlineLevel="0" collapsed="false">
      <c r="B3" s="2" t="s">
        <v>34</v>
      </c>
    </row>
    <row r="5" customFormat="false" ht="31.5" hidden="false" customHeight="true" outlineLevel="0" collapsed="false">
      <c r="A5" s="9"/>
      <c r="B5" s="9" t="s">
        <v>35</v>
      </c>
      <c r="C5" s="9" t="s">
        <v>36</v>
      </c>
      <c r="D5" s="9" t="s">
        <v>37</v>
      </c>
      <c r="E5" s="9" t="s">
        <v>38</v>
      </c>
      <c r="F5" s="9" t="s">
        <v>39</v>
      </c>
      <c r="G5" s="9" t="s">
        <v>40</v>
      </c>
    </row>
    <row r="6" customFormat="false" ht="15" hidden="false" customHeight="false" outlineLevel="0" collapsed="false">
      <c r="B6" s="10" t="s">
        <v>41</v>
      </c>
      <c r="C6" s="11" t="n">
        <f aca="false">COUNTIF(Equipements!$B$6:$B$200,$B6)</f>
        <v>12</v>
      </c>
      <c r="D6" s="11" t="n">
        <f aca="false">COUNTIFS(Equipements!$B$6:$B$200,$B6,Equipements!$F$6:$F$200,"Oui*")</f>
        <v>1</v>
      </c>
      <c r="E6" s="11" t="n">
        <f aca="false">COUNTIF(Taches!$D$6:$D$250,$B6)</f>
        <v>20</v>
      </c>
      <c r="F6" s="11" t="n">
        <f aca="false">COUNTIFS(Taches!$D$6:$D$250,$B6,Taches!$F$6:$F$250,"DIY")</f>
        <v>20</v>
      </c>
      <c r="G6" s="11" t="n">
        <f aca="false">COUNTIFS(Taches!$D$6:$D$250,$B6,Taches!$F$6:$F$250,"Pro")</f>
        <v>0</v>
      </c>
    </row>
    <row r="7" customFormat="false" ht="15" hidden="false" customHeight="false" outlineLevel="0" collapsed="false">
      <c r="B7" s="10" t="s">
        <v>42</v>
      </c>
      <c r="C7" s="11" t="n">
        <f aca="false">COUNTIF(Equipements!$B$6:$B$200,$B7)</f>
        <v>4</v>
      </c>
      <c r="D7" s="11" t="n">
        <f aca="false">COUNTIFS(Equipements!$B$6:$B$200,$B7,Equipements!$F$6:$F$200,"Oui*")</f>
        <v>0</v>
      </c>
      <c r="E7" s="11" t="n">
        <f aca="false">COUNTIF(Taches!$D$6:$D$250,$B7)</f>
        <v>9</v>
      </c>
      <c r="F7" s="11" t="n">
        <f aca="false">COUNTIFS(Taches!$D$6:$D$250,$B7,Taches!$F$6:$F$250,"DIY")</f>
        <v>9</v>
      </c>
      <c r="G7" s="11" t="n">
        <f aca="false">COUNTIFS(Taches!$D$6:$D$250,$B7,Taches!$F$6:$F$250,"Pro")</f>
        <v>0</v>
      </c>
    </row>
    <row r="8" customFormat="false" ht="15" hidden="false" customHeight="false" outlineLevel="0" collapsed="false">
      <c r="B8" s="10" t="s">
        <v>43</v>
      </c>
      <c r="C8" s="11" t="n">
        <f aca="false">COUNTIF(Equipements!$B$6:$B$200,$B8)</f>
        <v>29</v>
      </c>
      <c r="D8" s="11" t="n">
        <f aca="false">COUNTIFS(Equipements!$B$6:$B$200,$B8,Equipements!$F$6:$F$200,"Oui*")</f>
        <v>15</v>
      </c>
      <c r="E8" s="11" t="n">
        <f aca="false">COUNTIF(Taches!$D$6:$D$250,$B8)</f>
        <v>49</v>
      </c>
      <c r="F8" s="11" t="n">
        <f aca="false">COUNTIFS(Taches!$D$6:$D$250,$B8,Taches!$F$6:$F$250,"DIY")</f>
        <v>24</v>
      </c>
      <c r="G8" s="11" t="n">
        <f aca="false">COUNTIFS(Taches!$D$6:$D$250,$B8,Taches!$F$6:$F$250,"Pro")</f>
        <v>25</v>
      </c>
    </row>
    <row r="9" customFormat="false" ht="15" hidden="false" customHeight="false" outlineLevel="0" collapsed="false">
      <c r="B9" s="10" t="s">
        <v>44</v>
      </c>
      <c r="C9" s="11" t="n">
        <f aca="false">COUNTIF(Equipements!$B$6:$B$200,$B9)</f>
        <v>4</v>
      </c>
      <c r="D9" s="11" t="n">
        <f aca="false">COUNTIFS(Equipements!$B$6:$B$200,$B9,Equipements!$F$6:$F$200,"Oui*")</f>
        <v>0</v>
      </c>
      <c r="E9" s="11" t="n">
        <f aca="false">COUNTIF(Taches!$D$6:$D$250,$B9)</f>
        <v>4</v>
      </c>
      <c r="F9" s="11" t="n">
        <f aca="false">COUNTIFS(Taches!$D$6:$D$250,$B9,Taches!$F$6:$F$250,"DIY")</f>
        <v>4</v>
      </c>
      <c r="G9" s="11" t="n">
        <f aca="false">COUNTIFS(Taches!$D$6:$D$250,$B9,Taches!$F$6:$F$250,"Pro")</f>
        <v>0</v>
      </c>
    </row>
    <row r="10" customFormat="false" ht="15" hidden="false" customHeight="false" outlineLevel="0" collapsed="false">
      <c r="B10" s="10" t="s">
        <v>45</v>
      </c>
      <c r="C10" s="11" t="n">
        <f aca="false">COUNTIF(Equipements!$B$6:$B$200,$B10)</f>
        <v>0</v>
      </c>
      <c r="D10" s="11" t="n">
        <f aca="false">COUNTIFS(Equipements!$B$6:$B$200,$B10,Equipements!$F$6:$F$200,"Oui*")</f>
        <v>0</v>
      </c>
      <c r="E10" s="11" t="n">
        <f aca="false">COUNTIF(Taches!$D$6:$D$250,$B10)</f>
        <v>0</v>
      </c>
      <c r="F10" s="11" t="n">
        <f aca="false">COUNTIFS(Taches!$D$6:$D$250,$B10,Taches!$F$6:$F$250,"DIY")</f>
        <v>0</v>
      </c>
      <c r="G10" s="11" t="n">
        <f aca="false">COUNTIFS(Taches!$D$6:$D$250,$B10,Taches!$F$6:$F$250,"Pro")</f>
        <v>0</v>
      </c>
    </row>
    <row r="11" customFormat="false" ht="15" hidden="false" customHeight="false" outlineLevel="0" collapsed="false">
      <c r="B11" s="10" t="s">
        <v>46</v>
      </c>
      <c r="C11" s="11" t="n">
        <f aca="false">COUNTIF(Equipements!$B$6:$B$200,$B11)</f>
        <v>15</v>
      </c>
      <c r="D11" s="11" t="n">
        <f aca="false">COUNTIFS(Equipements!$B$6:$B$200,$B11,Equipements!$F$6:$F$200,"Oui*")</f>
        <v>3</v>
      </c>
      <c r="E11" s="11" t="n">
        <f aca="false">COUNTIF(Taches!$D$6:$D$250,$B11)</f>
        <v>20</v>
      </c>
      <c r="F11" s="11" t="n">
        <f aca="false">COUNTIFS(Taches!$D$6:$D$250,$B11,Taches!$F$6:$F$250,"DIY")</f>
        <v>18</v>
      </c>
      <c r="G11" s="11" t="n">
        <f aca="false">COUNTIFS(Taches!$D$6:$D$250,$B11,Taches!$F$6:$F$250,"Pro")</f>
        <v>2</v>
      </c>
    </row>
    <row r="12" customFormat="false" ht="15" hidden="false" customHeight="false" outlineLevel="0" collapsed="false">
      <c r="B12" s="10" t="s">
        <v>47</v>
      </c>
      <c r="C12" s="11" t="n">
        <f aca="false">COUNTIF(Equipements!$B$6:$B$200,$B12)</f>
        <v>33</v>
      </c>
      <c r="D12" s="11" t="n">
        <f aca="false">COUNTIFS(Equipements!$B$6:$B$200,$B12,Equipements!$F$6:$F$200,"Oui*")</f>
        <v>5</v>
      </c>
      <c r="E12" s="11" t="n">
        <f aca="false">COUNTIF(Taches!$D$6:$D$250,$B12)</f>
        <v>40</v>
      </c>
      <c r="F12" s="11" t="n">
        <f aca="false">COUNTIFS(Taches!$D$6:$D$250,$B12,Taches!$F$6:$F$250,"DIY")</f>
        <v>30</v>
      </c>
      <c r="G12" s="11" t="n">
        <f aca="false">COUNTIFS(Taches!$D$6:$D$250,$B12,Taches!$F$6:$F$250,"Pro")</f>
        <v>10</v>
      </c>
    </row>
    <row r="13" customFormat="false" ht="15" hidden="false" customHeight="false" outlineLevel="0" collapsed="false">
      <c r="B13" s="10" t="s">
        <v>48</v>
      </c>
      <c r="C13" s="11" t="n">
        <f aca="false">COUNTIF(Equipements!$B$6:$B$200,$B13)</f>
        <v>7</v>
      </c>
      <c r="D13" s="11" t="n">
        <f aca="false">COUNTIFS(Equipements!$B$6:$B$200,$B13,Equipements!$F$6:$F$200,"Oui*")</f>
        <v>1</v>
      </c>
      <c r="E13" s="11" t="n">
        <f aca="false">COUNTIF(Taches!$D$6:$D$250,$B13)</f>
        <v>9</v>
      </c>
      <c r="F13" s="11" t="n">
        <f aca="false">COUNTIFS(Taches!$D$6:$D$250,$B13,Taches!$F$6:$F$250,"DIY")</f>
        <v>5</v>
      </c>
      <c r="G13" s="11" t="n">
        <f aca="false">COUNTIFS(Taches!$D$6:$D$250,$B13,Taches!$F$6:$F$250,"Pro")</f>
        <v>4</v>
      </c>
    </row>
    <row r="14" customFormat="false" ht="15" hidden="false" customHeight="false" outlineLevel="0" collapsed="false">
      <c r="B14" s="10" t="s">
        <v>49</v>
      </c>
      <c r="C14" s="11" t="n">
        <f aca="false">COUNTIF(Equipements!$B$6:$B$200,$B14)</f>
        <v>3</v>
      </c>
      <c r="D14" s="11" t="n">
        <f aca="false">COUNTIFS(Equipements!$B$6:$B$200,$B14,Equipements!$F$6:$F$200,"Oui*")</f>
        <v>2</v>
      </c>
      <c r="E14" s="11" t="n">
        <f aca="false">COUNTIF(Taches!$D$6:$D$250,$B14)</f>
        <v>3</v>
      </c>
      <c r="F14" s="11" t="n">
        <f aca="false">COUNTIFS(Taches!$D$6:$D$250,$B14,Taches!$F$6:$F$250,"DIY")</f>
        <v>0</v>
      </c>
      <c r="G14" s="11" t="n">
        <f aca="false">COUNTIFS(Taches!$D$6:$D$250,$B14,Taches!$F$6:$F$250,"Pro")</f>
        <v>3</v>
      </c>
    </row>
    <row r="15" customFormat="false" ht="15" hidden="false" customHeight="false" outlineLevel="0" collapsed="false">
      <c r="B15" s="10" t="s">
        <v>50</v>
      </c>
      <c r="C15" s="11" t="n">
        <f aca="false">COUNTIF(Equipements!$B$6:$B$200,$B15)</f>
        <v>0</v>
      </c>
      <c r="D15" s="11" t="n">
        <f aca="false">COUNTIFS(Equipements!$B$6:$B$200,$B15,Equipements!$F$6:$F$200,"Oui*")</f>
        <v>0</v>
      </c>
      <c r="E15" s="11" t="n">
        <f aca="false">COUNTIF(Taches!$D$6:$D$250,$B15)</f>
        <v>0</v>
      </c>
      <c r="F15" s="11" t="n">
        <f aca="false">COUNTIFS(Taches!$D$6:$D$250,$B15,Taches!$F$6:$F$250,"DIY")</f>
        <v>0</v>
      </c>
      <c r="G15" s="11" t="n">
        <f aca="false">COUNTIFS(Taches!$D$6:$D$250,$B15,Taches!$F$6:$F$250,"Pro")</f>
        <v>0</v>
      </c>
    </row>
    <row r="16" customFormat="false" ht="15" hidden="false" customHeight="false" outlineLevel="0" collapsed="false">
      <c r="B16" s="12" t="s">
        <v>51</v>
      </c>
      <c r="C16" s="13" t="n">
        <f aca="false">SUM(C6:C15)</f>
        <v>107</v>
      </c>
      <c r="D16" s="13" t="n">
        <f aca="false">SUM(D6:D15)</f>
        <v>27</v>
      </c>
      <c r="E16" s="13" t="n">
        <f aca="false">SUM(E6:E15)</f>
        <v>154</v>
      </c>
      <c r="F16" s="13" t="n">
        <f aca="false">SUM(F6:F15)</f>
        <v>110</v>
      </c>
      <c r="G16" s="13" t="n">
        <f aca="false">SUM(G6:G15)</f>
        <v>44</v>
      </c>
    </row>
    <row r="19" customFormat="false" ht="15" hidden="false" customHeight="false" outlineLevel="0" collapsed="false">
      <c r="B19" s="3" t="s">
        <v>52</v>
      </c>
    </row>
    <row r="20" customFormat="false" ht="31.5" hidden="false" customHeight="true" outlineLevel="0" collapsed="false">
      <c r="A20" s="9"/>
      <c r="B20" s="9" t="s">
        <v>53</v>
      </c>
      <c r="C20" s="9" t="s">
        <v>54</v>
      </c>
      <c r="D20" s="9" t="s">
        <v>55</v>
      </c>
      <c r="E20" s="9"/>
      <c r="F20" s="9"/>
      <c r="G20" s="9"/>
    </row>
    <row r="21" customFormat="false" ht="15" hidden="false" customHeight="false" outlineLevel="0" collapsed="false">
      <c r="B21" s="10" t="s">
        <v>56</v>
      </c>
      <c r="C21" s="11" t="n">
        <f aca="false">COUNTIF(Taches!$O$6:$O$250,$B21)</f>
        <v>128</v>
      </c>
      <c r="D21" s="14" t="n">
        <f aca="false">IFERROR(C21/COUNTA(Taches!$A$6:$A$250),0)</f>
        <v>0.831168831168831</v>
      </c>
      <c r="E21" s="15" t="s">
        <v>57</v>
      </c>
    </row>
    <row r="22" customFormat="false" ht="15" hidden="false" customHeight="false" outlineLevel="0" collapsed="false">
      <c r="B22" s="10" t="s">
        <v>58</v>
      </c>
      <c r="C22" s="11" t="n">
        <f aca="false">COUNTIF(Taches!$O$6:$O$250,$B22)</f>
        <v>19</v>
      </c>
      <c r="D22" s="14" t="n">
        <f aca="false">IFERROR(C22/COUNTA(Taches!$A$6:$A$250),0)</f>
        <v>0.123376623376623</v>
      </c>
      <c r="E22" s="15" t="s">
        <v>59</v>
      </c>
    </row>
    <row r="23" customFormat="false" ht="15" hidden="false" customHeight="false" outlineLevel="0" collapsed="false">
      <c r="B23" s="10" t="s">
        <v>60</v>
      </c>
      <c r="C23" s="11" t="n">
        <f aca="false">COUNTIF(Taches!$O$6:$O$250,$B23)</f>
        <v>7</v>
      </c>
      <c r="D23" s="14" t="n">
        <f aca="false">IFERROR(C23/COUNTA(Taches!$A$6:$A$250),0)</f>
        <v>0.0454545454545455</v>
      </c>
      <c r="E23" s="15" t="s">
        <v>61</v>
      </c>
    </row>
    <row r="26" customFormat="false" ht="15" hidden="false" customHeight="false" outlineLevel="0" collapsed="false">
      <c r="B26" s="3" t="s">
        <v>62</v>
      </c>
    </row>
    <row r="27" customFormat="false" ht="23.85" hidden="false" customHeight="false" outlineLevel="0" collapsed="false">
      <c r="B27" s="10" t="s">
        <v>63</v>
      </c>
      <c r="C27" s="16" t="n">
        <f aca="false">COUNTIF(Taches!$N$6:$N$250,"Oui*")</f>
        <v>31</v>
      </c>
    </row>
    <row r="28" customFormat="false" ht="15" hidden="false" customHeight="false" outlineLevel="0" collapsed="false">
      <c r="B28" s="10" t="s">
        <v>64</v>
      </c>
      <c r="C28" s="16" t="n">
        <f aca="false">COUNTIF(Taches!$F$6:$F$250,"DIY")</f>
        <v>110</v>
      </c>
    </row>
    <row r="29" customFormat="false" ht="23.85" hidden="false" customHeight="false" outlineLevel="0" collapsed="false">
      <c r="B29" s="10" t="s">
        <v>65</v>
      </c>
      <c r="C29" s="16" t="n">
        <f aca="false">COUNTIF(Taches!$F$6:$F$250,"Pro")</f>
        <v>44</v>
      </c>
    </row>
    <row r="30" customFormat="false" ht="23.85" hidden="false" customHeight="false" outlineLevel="0" collapsed="false">
      <c r="B30" s="10" t="s">
        <v>66</v>
      </c>
      <c r="C30" s="16" t="n">
        <f aca="false">COUNTIF(Equipements!$N$6:$N$200,1)</f>
        <v>37</v>
      </c>
    </row>
    <row r="31" customFormat="false" ht="23.85" hidden="false" customHeight="false" outlineLevel="0" collapsed="false">
      <c r="B31" s="10" t="s">
        <v>67</v>
      </c>
      <c r="C31" s="16" t="n">
        <f aca="false">IFERROR(SUMPRODUCT((Taches!$F$6:$F$250="DIY")*(Taches!$G$6:$G$250&gt;0)*Taches!$J$6:$J$250*(12/IF(Taches!$G$6:$G$250=0,1,Taches!$G$6:$G$250)))/60,0)</f>
        <v>199.663888888889</v>
      </c>
    </row>
    <row r="33" customFormat="false" ht="53.7" hidden="false" customHeight="false" outlineLevel="0" collapsed="false">
      <c r="B33" s="8" t="s">
        <v>68</v>
      </c>
    </row>
    <row r="36" customFormat="false" ht="15" hidden="false" customHeight="false" outlineLevel="0" collapsed="false">
      <c r="B36" s="3" t="s">
        <v>69</v>
      </c>
    </row>
    <row r="37" customFormat="false" ht="31.5" hidden="false" customHeight="true" outlineLevel="0" collapsed="false">
      <c r="A37" s="9"/>
      <c r="B37" s="9" t="s">
        <v>70</v>
      </c>
      <c r="C37" s="9" t="s">
        <v>36</v>
      </c>
      <c r="D37" s="9" t="s">
        <v>71</v>
      </c>
      <c r="E37" s="9"/>
      <c r="F37" s="9"/>
      <c r="G37" s="9"/>
    </row>
    <row r="38" customFormat="false" ht="15" hidden="false" customHeight="false" outlineLevel="0" collapsed="false">
      <c r="B38" s="10" t="s">
        <v>72</v>
      </c>
      <c r="C38" s="11" t="n">
        <f aca="false">COUNTIF(Equipements!$O$6:$O$200,$B38)</f>
        <v>76</v>
      </c>
      <c r="D38" s="14" t="n">
        <f aca="false">IFERROR(C38/COUNTA(Equipements!$A$6:$A$200),0)</f>
        <v>0.710280373831776</v>
      </c>
    </row>
    <row r="39" customFormat="false" ht="15" hidden="false" customHeight="false" outlineLevel="0" collapsed="false">
      <c r="B39" s="10" t="s">
        <v>73</v>
      </c>
      <c r="C39" s="11" t="n">
        <f aca="false">COUNTIF(Equipements!$O$6:$O$200,$B39)</f>
        <v>4</v>
      </c>
      <c r="D39" s="14" t="n">
        <f aca="false">IFERROR(C39/COUNTA(Equipements!$A$6:$A$200),0)</f>
        <v>0.0373831775700935</v>
      </c>
    </row>
    <row r="40" customFormat="false" ht="15" hidden="false" customHeight="false" outlineLevel="0" collapsed="false">
      <c r="B40" s="10" t="s">
        <v>74</v>
      </c>
      <c r="C40" s="11" t="n">
        <f aca="false">COUNTIF(Equipements!$O$6:$O$200,$B40)</f>
        <v>1</v>
      </c>
      <c r="D40" s="14" t="n">
        <f aca="false">IFERROR(C40/COUNTA(Equipements!$A$6:$A$200),0)</f>
        <v>0.00934579439252336</v>
      </c>
    </row>
    <row r="41" customFormat="false" ht="15" hidden="false" customHeight="false" outlineLevel="0" collapsed="false">
      <c r="B41" s="10" t="s">
        <v>75</v>
      </c>
      <c r="C41" s="11" t="n">
        <f aca="false">COUNTIF(Equipements!$O$6:$O$200,$B41)</f>
        <v>15</v>
      </c>
      <c r="D41" s="14" t="n">
        <f aca="false">IFERROR(C41/COUNTA(Equipements!$A$6:$A$200),0)</f>
        <v>0.14018691588785</v>
      </c>
    </row>
    <row r="42" customFormat="false" ht="15" hidden="false" customHeight="false" outlineLevel="0" collapsed="false">
      <c r="B42" s="10" t="s">
        <v>76</v>
      </c>
      <c r="C42" s="11" t="n">
        <f aca="false">COUNTIF(Equipements!$O$6:$O$200,$B42)</f>
        <v>11</v>
      </c>
      <c r="D42" s="14" t="n">
        <f aca="false">IFERROR(C42/COUNTA(Equipements!$A$6:$A$200),0)</f>
        <v>0.102803738317757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R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8"/>
    <col collapsed="false" customWidth="true" hidden="false" outlineLevel="0" max="4" min="4" style="0" width="38"/>
    <col collapsed="false" customWidth="true" hidden="false" outlineLevel="0" max="5" min="5" style="0" width="14"/>
    <col collapsed="false" customWidth="true" hidden="false" outlineLevel="0" max="6" min="6" style="0" width="15"/>
    <col collapsed="false" customWidth="true" hidden="false" outlineLevel="0" max="7" min="7" style="0" width="40"/>
    <col collapsed="false" customWidth="true" hidden="false" outlineLevel="0" max="8" min="8" style="0" width="34"/>
    <col collapsed="false" customWidth="true" hidden="false" outlineLevel="0" max="9" min="9" style="0" width="26"/>
    <col collapsed="false" customWidth="true" hidden="false" outlineLevel="0" max="10" min="10" style="0" width="34"/>
    <col collapsed="false" customWidth="true" hidden="false" outlineLevel="0" max="11" min="11" style="0" width="16"/>
    <col collapsed="false" customWidth="true" hidden="false" outlineLevel="0" max="12" min="12" style="0" width="46"/>
    <col collapsed="false" customWidth="true" hidden="false" outlineLevel="0" max="14" min="13" style="0" width="11"/>
    <col collapsed="false" customWidth="true" hidden="false" outlineLevel="0" max="15" min="15" style="0" width="16"/>
    <col collapsed="false" customWidth="true" hidden="false" outlineLevel="0" max="18" min="16" style="0" width="44"/>
  </cols>
  <sheetData>
    <row r="2" customFormat="false" ht="19.7" hidden="false" customHeight="false" outlineLevel="0" collapsed="false">
      <c r="A2" s="1" t="s">
        <v>77</v>
      </c>
    </row>
    <row r="3" customFormat="false" ht="15" hidden="false" customHeight="false" outlineLevel="0" collapsed="false">
      <c r="A3" s="2" t="s">
        <v>78</v>
      </c>
    </row>
    <row r="5" customFormat="false" ht="31.5" hidden="false" customHeight="true" outlineLevel="0" collapsed="false">
      <c r="A5" s="9" t="s">
        <v>79</v>
      </c>
      <c r="B5" s="9" t="s">
        <v>35</v>
      </c>
      <c r="C5" s="9" t="s">
        <v>80</v>
      </c>
      <c r="D5" s="9" t="s">
        <v>81</v>
      </c>
      <c r="E5" s="9" t="s">
        <v>82</v>
      </c>
      <c r="F5" s="9" t="s">
        <v>21</v>
      </c>
      <c r="G5" s="9" t="s">
        <v>83</v>
      </c>
      <c r="H5" s="9" t="s">
        <v>84</v>
      </c>
      <c r="I5" s="9" t="s">
        <v>85</v>
      </c>
      <c r="J5" s="9" t="s">
        <v>86</v>
      </c>
      <c r="K5" s="9" t="s">
        <v>87</v>
      </c>
      <c r="L5" s="9" t="s">
        <v>88</v>
      </c>
      <c r="M5" s="9" t="s">
        <v>54</v>
      </c>
      <c r="N5" s="9" t="s">
        <v>89</v>
      </c>
      <c r="O5" s="9" t="s">
        <v>70</v>
      </c>
      <c r="P5" s="9" t="s">
        <v>90</v>
      </c>
      <c r="Q5" s="9" t="s">
        <v>91</v>
      </c>
      <c r="R5" s="9" t="s">
        <v>92</v>
      </c>
    </row>
    <row r="6" customFormat="false" ht="35.05" hidden="false" customHeight="false" outlineLevel="0" collapsed="false">
      <c r="A6" s="17" t="s">
        <v>93</v>
      </c>
      <c r="B6" s="18" t="s">
        <v>43</v>
      </c>
      <c r="C6" s="19" t="s">
        <v>94</v>
      </c>
      <c r="D6" s="18" t="s">
        <v>95</v>
      </c>
      <c r="E6" s="16" t="s">
        <v>96</v>
      </c>
      <c r="F6" s="17" t="s">
        <v>97</v>
      </c>
      <c r="G6" s="19" t="s">
        <v>98</v>
      </c>
      <c r="H6" s="19" t="s">
        <v>99</v>
      </c>
      <c r="I6" s="19" t="s">
        <v>100</v>
      </c>
      <c r="J6" s="19" t="s">
        <v>101</v>
      </c>
      <c r="K6" s="16" t="s">
        <v>102</v>
      </c>
      <c r="L6" s="19" t="s">
        <v>103</v>
      </c>
      <c r="M6" s="16" t="n">
        <f aca="false">COUNTIF(Taches!$B$6:$B$250,$A6)</f>
        <v>3</v>
      </c>
      <c r="N6" s="16" t="n">
        <v>1</v>
      </c>
      <c r="O6" s="20" t="s">
        <v>72</v>
      </c>
      <c r="P6" s="21" t="s">
        <v>104</v>
      </c>
      <c r="Q6" s="21" t="s">
        <v>105</v>
      </c>
      <c r="R6" s="21" t="s">
        <v>106</v>
      </c>
    </row>
    <row r="7" customFormat="false" ht="23.85" hidden="false" customHeight="false" outlineLevel="0" collapsed="false">
      <c r="A7" s="17" t="s">
        <v>107</v>
      </c>
      <c r="B7" s="18" t="s">
        <v>43</v>
      </c>
      <c r="C7" s="19" t="s">
        <v>94</v>
      </c>
      <c r="D7" s="18" t="s">
        <v>108</v>
      </c>
      <c r="E7" s="16" t="s">
        <v>109</v>
      </c>
      <c r="F7" s="17" t="s">
        <v>97</v>
      </c>
      <c r="G7" s="19" t="s">
        <v>110</v>
      </c>
      <c r="H7" s="19" t="s">
        <v>99</v>
      </c>
      <c r="I7" s="19" t="s">
        <v>111</v>
      </c>
      <c r="J7" s="19" t="s">
        <v>112</v>
      </c>
      <c r="K7" s="16" t="s">
        <v>113</v>
      </c>
      <c r="L7" s="19" t="s">
        <v>114</v>
      </c>
      <c r="M7" s="16" t="n">
        <f aca="false">COUNTIF(Taches!$B$6:$B$250,$A7)</f>
        <v>2</v>
      </c>
      <c r="N7" s="16" t="n">
        <v>1</v>
      </c>
      <c r="O7" s="20" t="s">
        <v>72</v>
      </c>
      <c r="P7" s="21" t="s">
        <v>115</v>
      </c>
      <c r="Q7" s="21" t="s">
        <v>116</v>
      </c>
      <c r="R7" s="21" t="s">
        <v>117</v>
      </c>
    </row>
    <row r="8" customFormat="false" ht="23.85" hidden="false" customHeight="false" outlineLevel="0" collapsed="false">
      <c r="A8" s="17" t="s">
        <v>118</v>
      </c>
      <c r="B8" s="18" t="s">
        <v>43</v>
      </c>
      <c r="C8" s="19" t="s">
        <v>94</v>
      </c>
      <c r="D8" s="18" t="s">
        <v>119</v>
      </c>
      <c r="E8" s="16" t="s">
        <v>96</v>
      </c>
      <c r="F8" s="17" t="s">
        <v>97</v>
      </c>
      <c r="G8" s="19" t="s">
        <v>120</v>
      </c>
      <c r="H8" s="19" t="s">
        <v>99</v>
      </c>
      <c r="I8" s="19" t="s">
        <v>111</v>
      </c>
      <c r="J8" s="19" t="s">
        <v>121</v>
      </c>
      <c r="K8" s="16" t="s">
        <v>122</v>
      </c>
      <c r="L8" s="19" t="s">
        <v>123</v>
      </c>
      <c r="M8" s="16" t="n">
        <f aca="false">COUNTIF(Taches!$B$6:$B$250,$A8)</f>
        <v>2</v>
      </c>
      <c r="N8" s="16" t="n">
        <v>1</v>
      </c>
      <c r="O8" s="20" t="s">
        <v>72</v>
      </c>
      <c r="P8" s="21" t="s">
        <v>124</v>
      </c>
      <c r="Q8" s="21" t="s">
        <v>125</v>
      </c>
      <c r="R8" s="21" t="s">
        <v>126</v>
      </c>
    </row>
    <row r="9" customFormat="false" ht="23.85" hidden="false" customHeight="false" outlineLevel="0" collapsed="false">
      <c r="A9" s="17" t="s">
        <v>127</v>
      </c>
      <c r="B9" s="18" t="s">
        <v>43</v>
      </c>
      <c r="C9" s="19" t="s">
        <v>94</v>
      </c>
      <c r="D9" s="18" t="s">
        <v>128</v>
      </c>
      <c r="E9" s="16" t="s">
        <v>96</v>
      </c>
      <c r="F9" s="17" t="s">
        <v>97</v>
      </c>
      <c r="G9" s="19" t="s">
        <v>129</v>
      </c>
      <c r="H9" s="19" t="s">
        <v>99</v>
      </c>
      <c r="I9" s="19" t="s">
        <v>111</v>
      </c>
      <c r="J9" s="19" t="s">
        <v>121</v>
      </c>
      <c r="K9" s="16" t="s">
        <v>130</v>
      </c>
      <c r="L9" s="19" t="s">
        <v>131</v>
      </c>
      <c r="M9" s="16" t="n">
        <f aca="false">COUNTIF(Taches!$B$6:$B$250,$A9)</f>
        <v>4</v>
      </c>
      <c r="N9" s="16" t="n">
        <v>1</v>
      </c>
      <c r="O9" s="20" t="s">
        <v>72</v>
      </c>
      <c r="P9" s="21" t="s">
        <v>132</v>
      </c>
      <c r="Q9" s="21" t="s">
        <v>133</v>
      </c>
      <c r="R9" s="21" t="s">
        <v>134</v>
      </c>
    </row>
    <row r="10" customFormat="false" ht="23.85" hidden="false" customHeight="false" outlineLevel="0" collapsed="false">
      <c r="A10" s="17" t="s">
        <v>135</v>
      </c>
      <c r="B10" s="18" t="s">
        <v>43</v>
      </c>
      <c r="C10" s="19" t="s">
        <v>94</v>
      </c>
      <c r="D10" s="18" t="s">
        <v>136</v>
      </c>
      <c r="E10" s="16" t="s">
        <v>137</v>
      </c>
      <c r="F10" s="17" t="s">
        <v>97</v>
      </c>
      <c r="G10" s="19" t="s">
        <v>138</v>
      </c>
      <c r="H10" s="19" t="s">
        <v>99</v>
      </c>
      <c r="I10" s="19" t="s">
        <v>111</v>
      </c>
      <c r="J10" s="19" t="s">
        <v>121</v>
      </c>
      <c r="K10" s="16" t="s">
        <v>139</v>
      </c>
      <c r="L10" s="19" t="s">
        <v>140</v>
      </c>
      <c r="M10" s="16" t="n">
        <f aca="false">COUNTIF(Taches!$B$6:$B$250,$A10)</f>
        <v>2</v>
      </c>
      <c r="N10" s="16" t="n">
        <v>1</v>
      </c>
      <c r="O10" s="20" t="s">
        <v>72</v>
      </c>
      <c r="P10" s="21" t="s">
        <v>141</v>
      </c>
      <c r="Q10" s="21" t="s">
        <v>142</v>
      </c>
      <c r="R10" s="21" t="s">
        <v>143</v>
      </c>
    </row>
    <row r="11" customFormat="false" ht="23.85" hidden="false" customHeight="false" outlineLevel="0" collapsed="false">
      <c r="A11" s="17" t="s">
        <v>144</v>
      </c>
      <c r="B11" s="18" t="s">
        <v>43</v>
      </c>
      <c r="C11" s="19" t="s">
        <v>94</v>
      </c>
      <c r="D11" s="18" t="s">
        <v>145</v>
      </c>
      <c r="E11" s="16" t="s">
        <v>146</v>
      </c>
      <c r="F11" s="17" t="s">
        <v>97</v>
      </c>
      <c r="G11" s="19" t="s">
        <v>147</v>
      </c>
      <c r="H11" s="19" t="s">
        <v>148</v>
      </c>
      <c r="I11" s="19" t="s">
        <v>111</v>
      </c>
      <c r="J11" s="19" t="s">
        <v>149</v>
      </c>
      <c r="K11" s="16" t="s">
        <v>150</v>
      </c>
      <c r="L11" s="19" t="s">
        <v>151</v>
      </c>
      <c r="M11" s="16" t="n">
        <f aca="false">COUNTIF(Taches!$B$6:$B$250,$A11)</f>
        <v>1</v>
      </c>
      <c r="N11" s="16" t="n">
        <v>2</v>
      </c>
      <c r="O11" s="20" t="s">
        <v>75</v>
      </c>
      <c r="P11" s="21" t="s">
        <v>152</v>
      </c>
      <c r="Q11" s="21" t="s">
        <v>153</v>
      </c>
      <c r="R11" s="21" t="s">
        <v>154</v>
      </c>
    </row>
    <row r="12" customFormat="false" ht="23.85" hidden="false" customHeight="false" outlineLevel="0" collapsed="false">
      <c r="A12" s="17" t="s">
        <v>155</v>
      </c>
      <c r="B12" s="18" t="s">
        <v>43</v>
      </c>
      <c r="C12" s="19" t="s">
        <v>94</v>
      </c>
      <c r="D12" s="18" t="s">
        <v>156</v>
      </c>
      <c r="E12" s="16" t="s">
        <v>157</v>
      </c>
      <c r="F12" s="17" t="s">
        <v>97</v>
      </c>
      <c r="G12" s="19" t="s">
        <v>158</v>
      </c>
      <c r="H12" s="19" t="s">
        <v>159</v>
      </c>
      <c r="I12" s="19" t="s">
        <v>160</v>
      </c>
      <c r="J12" s="19" t="s">
        <v>161</v>
      </c>
      <c r="K12" s="16" t="s">
        <v>150</v>
      </c>
      <c r="L12" s="19" t="s">
        <v>162</v>
      </c>
      <c r="M12" s="16" t="n">
        <f aca="false">COUNTIF(Taches!$B$6:$B$250,$A12)</f>
        <v>2</v>
      </c>
      <c r="N12" s="16" t="n">
        <v>1</v>
      </c>
      <c r="O12" s="20" t="s">
        <v>75</v>
      </c>
      <c r="P12" s="21" t="s">
        <v>163</v>
      </c>
      <c r="Q12" s="21" t="s">
        <v>164</v>
      </c>
      <c r="R12" s="21" t="s">
        <v>165</v>
      </c>
    </row>
    <row r="13" customFormat="false" ht="35.05" hidden="false" customHeight="false" outlineLevel="0" collapsed="false">
      <c r="A13" s="17" t="s">
        <v>166</v>
      </c>
      <c r="B13" s="18" t="s">
        <v>43</v>
      </c>
      <c r="C13" s="19" t="s">
        <v>94</v>
      </c>
      <c r="D13" s="18" t="s">
        <v>167</v>
      </c>
      <c r="E13" s="16" t="s">
        <v>96</v>
      </c>
      <c r="F13" s="17" t="s">
        <v>97</v>
      </c>
      <c r="G13" s="19" t="s">
        <v>168</v>
      </c>
      <c r="H13" s="19" t="s">
        <v>169</v>
      </c>
      <c r="I13" s="19" t="s">
        <v>111</v>
      </c>
      <c r="J13" s="19" t="s">
        <v>112</v>
      </c>
      <c r="K13" s="16" t="s">
        <v>170</v>
      </c>
      <c r="L13" s="19" t="s">
        <v>171</v>
      </c>
      <c r="M13" s="16" t="n">
        <f aca="false">COUNTIF(Taches!$B$6:$B$250,$A13)</f>
        <v>3</v>
      </c>
      <c r="N13" s="16" t="n">
        <v>1</v>
      </c>
      <c r="O13" s="20" t="s">
        <v>72</v>
      </c>
      <c r="P13" s="21" t="s">
        <v>172</v>
      </c>
      <c r="Q13" s="21" t="s">
        <v>173</v>
      </c>
      <c r="R13" s="21" t="s">
        <v>174</v>
      </c>
    </row>
    <row r="14" customFormat="false" ht="35.05" hidden="false" customHeight="false" outlineLevel="0" collapsed="false">
      <c r="A14" s="22" t="s">
        <v>175</v>
      </c>
      <c r="B14" s="10" t="s">
        <v>43</v>
      </c>
      <c r="C14" s="15" t="s">
        <v>94</v>
      </c>
      <c r="D14" s="10" t="s">
        <v>176</v>
      </c>
      <c r="E14" s="11" t="s">
        <v>177</v>
      </c>
      <c r="F14" s="11" t="s">
        <v>178</v>
      </c>
      <c r="G14" s="15" t="s">
        <v>179</v>
      </c>
      <c r="H14" s="15" t="s">
        <v>169</v>
      </c>
      <c r="I14" s="15" t="s">
        <v>111</v>
      </c>
      <c r="J14" s="15" t="s">
        <v>112</v>
      </c>
      <c r="K14" s="11" t="s">
        <v>130</v>
      </c>
      <c r="L14" s="15" t="s">
        <v>180</v>
      </c>
      <c r="M14" s="11" t="n">
        <f aca="false">COUNTIF(Taches!$B$6:$B$250,$A14)</f>
        <v>2</v>
      </c>
      <c r="N14" s="11" t="n">
        <v>1</v>
      </c>
      <c r="O14" s="20" t="s">
        <v>72</v>
      </c>
      <c r="P14" s="21" t="s">
        <v>181</v>
      </c>
      <c r="Q14" s="21" t="s">
        <v>173</v>
      </c>
      <c r="R14" s="21" t="s">
        <v>174</v>
      </c>
    </row>
    <row r="15" customFormat="false" ht="35.05" hidden="false" customHeight="false" outlineLevel="0" collapsed="false">
      <c r="A15" s="17" t="s">
        <v>182</v>
      </c>
      <c r="B15" s="18" t="s">
        <v>43</v>
      </c>
      <c r="C15" s="19" t="s">
        <v>94</v>
      </c>
      <c r="D15" s="18" t="s">
        <v>183</v>
      </c>
      <c r="E15" s="16" t="s">
        <v>109</v>
      </c>
      <c r="F15" s="17" t="s">
        <v>97</v>
      </c>
      <c r="G15" s="19" t="s">
        <v>184</v>
      </c>
      <c r="H15" s="19" t="s">
        <v>169</v>
      </c>
      <c r="I15" s="19" t="s">
        <v>111</v>
      </c>
      <c r="J15" s="19" t="s">
        <v>112</v>
      </c>
      <c r="K15" s="16" t="s">
        <v>185</v>
      </c>
      <c r="L15" s="19" t="s">
        <v>186</v>
      </c>
      <c r="M15" s="16" t="n">
        <f aca="false">COUNTIF(Taches!$B$6:$B$250,$A15)</f>
        <v>1</v>
      </c>
      <c r="N15" s="16" t="n">
        <v>2</v>
      </c>
      <c r="O15" s="20" t="s">
        <v>72</v>
      </c>
      <c r="P15" s="21" t="s">
        <v>187</v>
      </c>
      <c r="Q15" s="21" t="s">
        <v>173</v>
      </c>
      <c r="R15" s="21" t="s">
        <v>174</v>
      </c>
    </row>
    <row r="16" customFormat="false" ht="23.85" hidden="false" customHeight="false" outlineLevel="0" collapsed="false">
      <c r="A16" s="22" t="s">
        <v>188</v>
      </c>
      <c r="B16" s="10" t="s">
        <v>43</v>
      </c>
      <c r="C16" s="15" t="s">
        <v>94</v>
      </c>
      <c r="D16" s="10" t="s">
        <v>189</v>
      </c>
      <c r="E16" s="11" t="s">
        <v>190</v>
      </c>
      <c r="F16" s="11" t="s">
        <v>191</v>
      </c>
      <c r="G16" s="15" t="s">
        <v>153</v>
      </c>
      <c r="H16" s="15" t="s">
        <v>192</v>
      </c>
      <c r="I16" s="15" t="s">
        <v>193</v>
      </c>
      <c r="J16" s="15" t="s">
        <v>153</v>
      </c>
      <c r="K16" s="11" t="s">
        <v>194</v>
      </c>
      <c r="L16" s="15" t="s">
        <v>195</v>
      </c>
      <c r="M16" s="11" t="n">
        <f aca="false">COUNTIF(Taches!$B$6:$B$250,$A16)</f>
        <v>2</v>
      </c>
      <c r="N16" s="11" t="n">
        <v>1</v>
      </c>
      <c r="O16" s="20" t="s">
        <v>76</v>
      </c>
      <c r="P16" s="21" t="s">
        <v>196</v>
      </c>
      <c r="Q16" s="21" t="s">
        <v>153</v>
      </c>
      <c r="R16" s="21" t="s">
        <v>197</v>
      </c>
    </row>
    <row r="17" customFormat="false" ht="23.85" hidden="false" customHeight="false" outlineLevel="0" collapsed="false">
      <c r="A17" s="22" t="s">
        <v>198</v>
      </c>
      <c r="B17" s="10" t="s">
        <v>43</v>
      </c>
      <c r="C17" s="15" t="s">
        <v>94</v>
      </c>
      <c r="D17" s="10" t="s">
        <v>199</v>
      </c>
      <c r="E17" s="11" t="s">
        <v>153</v>
      </c>
      <c r="F17" s="11" t="s">
        <v>191</v>
      </c>
      <c r="G17" s="15" t="s">
        <v>153</v>
      </c>
      <c r="H17" s="15" t="s">
        <v>200</v>
      </c>
      <c r="I17" s="15" t="s">
        <v>201</v>
      </c>
      <c r="J17" s="15" t="s">
        <v>202</v>
      </c>
      <c r="K17" s="11" t="s">
        <v>203</v>
      </c>
      <c r="L17" s="15" t="s">
        <v>204</v>
      </c>
      <c r="M17" s="11" t="n">
        <f aca="false">COUNTIF(Taches!$B$6:$B$250,$A17)</f>
        <v>1</v>
      </c>
      <c r="N17" s="11" t="n">
        <v>2</v>
      </c>
      <c r="O17" s="20" t="s">
        <v>75</v>
      </c>
      <c r="P17" s="21" t="s">
        <v>152</v>
      </c>
      <c r="Q17" s="21" t="s">
        <v>153</v>
      </c>
      <c r="R17" s="21" t="s">
        <v>205</v>
      </c>
    </row>
    <row r="18" customFormat="false" ht="23.85" hidden="false" customHeight="false" outlineLevel="0" collapsed="false">
      <c r="A18" s="22" t="s">
        <v>206</v>
      </c>
      <c r="B18" s="10" t="s">
        <v>43</v>
      </c>
      <c r="C18" s="15" t="s">
        <v>94</v>
      </c>
      <c r="D18" s="10" t="s">
        <v>207</v>
      </c>
      <c r="E18" s="11" t="s">
        <v>208</v>
      </c>
      <c r="F18" s="11" t="s">
        <v>191</v>
      </c>
      <c r="G18" s="15" t="s">
        <v>153</v>
      </c>
      <c r="H18" s="15" t="s">
        <v>209</v>
      </c>
      <c r="I18" s="15" t="s">
        <v>210</v>
      </c>
      <c r="J18" s="15" t="s">
        <v>153</v>
      </c>
      <c r="K18" s="11" t="s">
        <v>153</v>
      </c>
      <c r="L18" s="15" t="s">
        <v>211</v>
      </c>
      <c r="M18" s="11" t="n">
        <f aca="false">COUNTIF(Taches!$B$6:$B$250,$A18)</f>
        <v>1</v>
      </c>
      <c r="N18" s="11" t="n">
        <v>2</v>
      </c>
      <c r="O18" s="20" t="s">
        <v>72</v>
      </c>
      <c r="P18" s="21" t="s">
        <v>212</v>
      </c>
      <c r="Q18" s="21" t="s">
        <v>213</v>
      </c>
      <c r="R18" s="21" t="s">
        <v>214</v>
      </c>
    </row>
    <row r="19" customFormat="false" ht="23.85" hidden="false" customHeight="false" outlineLevel="0" collapsed="false">
      <c r="A19" s="22" t="s">
        <v>215</v>
      </c>
      <c r="B19" s="10" t="s">
        <v>43</v>
      </c>
      <c r="C19" s="15" t="s">
        <v>94</v>
      </c>
      <c r="D19" s="10" t="s">
        <v>216</v>
      </c>
      <c r="E19" s="11" t="s">
        <v>96</v>
      </c>
      <c r="F19" s="11" t="s">
        <v>191</v>
      </c>
      <c r="G19" s="15" t="s">
        <v>153</v>
      </c>
      <c r="H19" s="15" t="s">
        <v>217</v>
      </c>
      <c r="I19" s="15" t="s">
        <v>193</v>
      </c>
      <c r="J19" s="15" t="s">
        <v>153</v>
      </c>
      <c r="K19" s="11" t="s">
        <v>194</v>
      </c>
      <c r="L19" s="15" t="s">
        <v>218</v>
      </c>
      <c r="M19" s="11" t="n">
        <f aca="false">COUNTIF(Taches!$B$6:$B$250,$A19)</f>
        <v>1</v>
      </c>
      <c r="N19" s="11" t="n">
        <v>3</v>
      </c>
      <c r="O19" s="20" t="s">
        <v>72</v>
      </c>
      <c r="P19" s="21" t="s">
        <v>219</v>
      </c>
      <c r="Q19" s="21" t="s">
        <v>220</v>
      </c>
      <c r="R19" s="21" t="s">
        <v>153</v>
      </c>
    </row>
    <row r="20" customFormat="false" ht="23.85" hidden="false" customHeight="false" outlineLevel="0" collapsed="false">
      <c r="A20" s="22" t="s">
        <v>221</v>
      </c>
      <c r="B20" s="10" t="s">
        <v>43</v>
      </c>
      <c r="C20" s="15" t="s">
        <v>94</v>
      </c>
      <c r="D20" s="10" t="s">
        <v>222</v>
      </c>
      <c r="E20" s="11" t="s">
        <v>223</v>
      </c>
      <c r="F20" s="11" t="s">
        <v>224</v>
      </c>
      <c r="G20" s="15" t="s">
        <v>225</v>
      </c>
      <c r="H20" s="15" t="s">
        <v>226</v>
      </c>
      <c r="I20" s="15" t="s">
        <v>201</v>
      </c>
      <c r="J20" s="15" t="s">
        <v>227</v>
      </c>
      <c r="K20" s="11" t="s">
        <v>228</v>
      </c>
      <c r="L20" s="15" t="s">
        <v>229</v>
      </c>
      <c r="M20" s="11" t="n">
        <f aca="false">COUNTIF(Taches!$B$6:$B$250,$A20)</f>
        <v>1</v>
      </c>
      <c r="N20" s="11" t="n">
        <v>2</v>
      </c>
      <c r="O20" s="20" t="s">
        <v>72</v>
      </c>
      <c r="P20" s="21" t="s">
        <v>230</v>
      </c>
      <c r="Q20" s="21" t="s">
        <v>231</v>
      </c>
      <c r="R20" s="21" t="s">
        <v>153</v>
      </c>
    </row>
    <row r="21" customFormat="false" ht="23.85" hidden="false" customHeight="false" outlineLevel="0" collapsed="false">
      <c r="A21" s="22" t="s">
        <v>232</v>
      </c>
      <c r="B21" s="10" t="s">
        <v>43</v>
      </c>
      <c r="C21" s="15" t="s">
        <v>94</v>
      </c>
      <c r="D21" s="10" t="s">
        <v>233</v>
      </c>
      <c r="E21" s="11" t="s">
        <v>153</v>
      </c>
      <c r="F21" s="11" t="s">
        <v>234</v>
      </c>
      <c r="G21" s="15" t="s">
        <v>235</v>
      </c>
      <c r="H21" s="15" t="s">
        <v>236</v>
      </c>
      <c r="I21" s="15" t="s">
        <v>237</v>
      </c>
      <c r="J21" s="15" t="s">
        <v>238</v>
      </c>
      <c r="K21" s="11" t="s">
        <v>239</v>
      </c>
      <c r="L21" s="15" t="s">
        <v>240</v>
      </c>
      <c r="M21" s="11" t="n">
        <f aca="false">COUNTIF(Taches!$B$6:$B$250,$A21)</f>
        <v>1</v>
      </c>
      <c r="N21" s="11" t="n">
        <v>2</v>
      </c>
      <c r="O21" s="20" t="s">
        <v>72</v>
      </c>
      <c r="P21" s="21" t="s">
        <v>241</v>
      </c>
      <c r="Q21" s="21" t="s">
        <v>242</v>
      </c>
      <c r="R21" s="21" t="s">
        <v>243</v>
      </c>
    </row>
    <row r="22" customFormat="false" ht="23.85" hidden="false" customHeight="false" outlineLevel="0" collapsed="false">
      <c r="A22" s="22" t="s">
        <v>244</v>
      </c>
      <c r="B22" s="10" t="s">
        <v>43</v>
      </c>
      <c r="C22" s="15" t="s">
        <v>94</v>
      </c>
      <c r="D22" s="10" t="s">
        <v>245</v>
      </c>
      <c r="E22" s="11" t="s">
        <v>246</v>
      </c>
      <c r="F22" s="11" t="s">
        <v>191</v>
      </c>
      <c r="G22" s="15" t="s">
        <v>153</v>
      </c>
      <c r="H22" s="15" t="s">
        <v>247</v>
      </c>
      <c r="I22" s="15" t="s">
        <v>193</v>
      </c>
      <c r="J22" s="15" t="s">
        <v>153</v>
      </c>
      <c r="K22" s="11" t="s">
        <v>194</v>
      </c>
      <c r="L22" s="15" t="s">
        <v>248</v>
      </c>
      <c r="M22" s="11" t="n">
        <f aca="false">COUNTIF(Taches!$B$6:$B$250,$A22)</f>
        <v>1</v>
      </c>
      <c r="N22" s="11" t="n">
        <v>3</v>
      </c>
      <c r="O22" s="20" t="s">
        <v>72</v>
      </c>
      <c r="P22" s="21" t="s">
        <v>249</v>
      </c>
      <c r="Q22" s="21" t="s">
        <v>250</v>
      </c>
      <c r="R22" s="21" t="s">
        <v>251</v>
      </c>
    </row>
    <row r="23" customFormat="false" ht="23.85" hidden="false" customHeight="false" outlineLevel="0" collapsed="false">
      <c r="A23" s="22" t="s">
        <v>252</v>
      </c>
      <c r="B23" s="10" t="s">
        <v>43</v>
      </c>
      <c r="C23" s="15" t="s">
        <v>253</v>
      </c>
      <c r="D23" s="10" t="s">
        <v>254</v>
      </c>
      <c r="E23" s="11" t="s">
        <v>246</v>
      </c>
      <c r="F23" s="11" t="s">
        <v>191</v>
      </c>
      <c r="G23" s="15" t="s">
        <v>153</v>
      </c>
      <c r="H23" s="15" t="s">
        <v>255</v>
      </c>
      <c r="I23" s="15" t="s">
        <v>210</v>
      </c>
      <c r="J23" s="15" t="s">
        <v>256</v>
      </c>
      <c r="K23" s="11" t="s">
        <v>170</v>
      </c>
      <c r="L23" s="15" t="s">
        <v>257</v>
      </c>
      <c r="M23" s="11" t="n">
        <f aca="false">COUNTIF(Taches!$B$6:$B$250,$A23)</f>
        <v>3</v>
      </c>
      <c r="N23" s="11" t="n">
        <v>1</v>
      </c>
      <c r="O23" s="20" t="s">
        <v>72</v>
      </c>
      <c r="P23" s="21" t="s">
        <v>258</v>
      </c>
      <c r="Q23" s="21" t="s">
        <v>259</v>
      </c>
      <c r="R23" s="21" t="s">
        <v>153</v>
      </c>
    </row>
    <row r="24" customFormat="false" ht="35.05" hidden="false" customHeight="false" outlineLevel="0" collapsed="false">
      <c r="A24" s="22" t="s">
        <v>260</v>
      </c>
      <c r="B24" s="10" t="s">
        <v>43</v>
      </c>
      <c r="C24" s="15" t="s">
        <v>253</v>
      </c>
      <c r="D24" s="10" t="s">
        <v>261</v>
      </c>
      <c r="E24" s="11" t="s">
        <v>96</v>
      </c>
      <c r="F24" s="11" t="s">
        <v>178</v>
      </c>
      <c r="G24" s="15" t="s">
        <v>184</v>
      </c>
      <c r="H24" s="15" t="s">
        <v>169</v>
      </c>
      <c r="I24" s="15" t="s">
        <v>111</v>
      </c>
      <c r="J24" s="15" t="s">
        <v>112</v>
      </c>
      <c r="K24" s="11" t="s">
        <v>170</v>
      </c>
      <c r="L24" s="15" t="s">
        <v>262</v>
      </c>
      <c r="M24" s="11" t="n">
        <f aca="false">COUNTIF(Taches!$B$6:$B$250,$A24)</f>
        <v>2</v>
      </c>
      <c r="N24" s="11" t="n">
        <v>1</v>
      </c>
      <c r="O24" s="20" t="s">
        <v>72</v>
      </c>
      <c r="P24" s="21" t="s">
        <v>263</v>
      </c>
      <c r="Q24" s="21" t="s">
        <v>173</v>
      </c>
      <c r="R24" s="21" t="s">
        <v>174</v>
      </c>
    </row>
    <row r="25" customFormat="false" ht="35.05" hidden="false" customHeight="false" outlineLevel="0" collapsed="false">
      <c r="A25" s="17" t="s">
        <v>264</v>
      </c>
      <c r="B25" s="18" t="s">
        <v>43</v>
      </c>
      <c r="C25" s="19" t="s">
        <v>253</v>
      </c>
      <c r="D25" s="18" t="s">
        <v>265</v>
      </c>
      <c r="E25" s="16" t="s">
        <v>246</v>
      </c>
      <c r="F25" s="17" t="s">
        <v>97</v>
      </c>
      <c r="G25" s="19" t="s">
        <v>266</v>
      </c>
      <c r="H25" s="19" t="s">
        <v>99</v>
      </c>
      <c r="I25" s="19" t="s">
        <v>111</v>
      </c>
      <c r="J25" s="19" t="s">
        <v>112</v>
      </c>
      <c r="K25" s="16" t="s">
        <v>267</v>
      </c>
      <c r="L25" s="19" t="s">
        <v>268</v>
      </c>
      <c r="M25" s="16" t="n">
        <f aca="false">COUNTIF(Taches!$B$6:$B$250,$A25)</f>
        <v>1</v>
      </c>
      <c r="N25" s="16" t="n">
        <v>1</v>
      </c>
      <c r="O25" s="20" t="s">
        <v>72</v>
      </c>
      <c r="P25" s="21" t="s">
        <v>269</v>
      </c>
      <c r="Q25" s="21" t="s">
        <v>270</v>
      </c>
      <c r="R25" s="21" t="s">
        <v>106</v>
      </c>
    </row>
    <row r="26" customFormat="false" ht="23.85" hidden="false" customHeight="false" outlineLevel="0" collapsed="false">
      <c r="A26" s="22" t="s">
        <v>271</v>
      </c>
      <c r="B26" s="10" t="s">
        <v>43</v>
      </c>
      <c r="C26" s="15" t="s">
        <v>253</v>
      </c>
      <c r="D26" s="10" t="s">
        <v>272</v>
      </c>
      <c r="E26" s="11" t="s">
        <v>109</v>
      </c>
      <c r="F26" s="11" t="s">
        <v>191</v>
      </c>
      <c r="G26" s="15" t="s">
        <v>153</v>
      </c>
      <c r="H26" s="15" t="s">
        <v>273</v>
      </c>
      <c r="I26" s="15" t="s">
        <v>201</v>
      </c>
      <c r="J26" s="15" t="s">
        <v>274</v>
      </c>
      <c r="K26" s="11" t="s">
        <v>170</v>
      </c>
      <c r="L26" s="15" t="s">
        <v>275</v>
      </c>
      <c r="M26" s="11" t="n">
        <f aca="false">COUNTIF(Taches!$B$6:$B$250,$A26)</f>
        <v>1</v>
      </c>
      <c r="N26" s="11" t="n">
        <v>2</v>
      </c>
      <c r="O26" s="20" t="s">
        <v>72</v>
      </c>
      <c r="P26" s="21" t="s">
        <v>276</v>
      </c>
      <c r="Q26" s="21" t="s">
        <v>277</v>
      </c>
      <c r="R26" s="21" t="s">
        <v>278</v>
      </c>
    </row>
    <row r="27" customFormat="false" ht="23.85" hidden="false" customHeight="false" outlineLevel="0" collapsed="false">
      <c r="A27" s="22" t="s">
        <v>279</v>
      </c>
      <c r="B27" s="10" t="s">
        <v>43</v>
      </c>
      <c r="C27" s="15" t="s">
        <v>253</v>
      </c>
      <c r="D27" s="10" t="s">
        <v>280</v>
      </c>
      <c r="E27" s="11" t="s">
        <v>281</v>
      </c>
      <c r="F27" s="11" t="s">
        <v>191</v>
      </c>
      <c r="G27" s="15" t="s">
        <v>153</v>
      </c>
      <c r="H27" s="15" t="s">
        <v>282</v>
      </c>
      <c r="I27" s="15" t="s">
        <v>193</v>
      </c>
      <c r="J27" s="15" t="s">
        <v>153</v>
      </c>
      <c r="K27" s="11" t="s">
        <v>283</v>
      </c>
      <c r="L27" s="15" t="s">
        <v>284</v>
      </c>
      <c r="M27" s="11" t="n">
        <f aca="false">COUNTIF(Taches!$B$6:$B$250,$A27)</f>
        <v>1</v>
      </c>
      <c r="N27" s="11" t="n">
        <v>3</v>
      </c>
      <c r="O27" s="20" t="s">
        <v>72</v>
      </c>
      <c r="P27" s="21" t="s">
        <v>285</v>
      </c>
      <c r="Q27" s="21" t="s">
        <v>286</v>
      </c>
      <c r="R27" s="21" t="s">
        <v>287</v>
      </c>
    </row>
    <row r="28" customFormat="false" ht="23.85" hidden="false" customHeight="false" outlineLevel="0" collapsed="false">
      <c r="A28" s="22" t="s">
        <v>288</v>
      </c>
      <c r="B28" s="10" t="s">
        <v>47</v>
      </c>
      <c r="C28" s="15" t="s">
        <v>253</v>
      </c>
      <c r="D28" s="10" t="s">
        <v>289</v>
      </c>
      <c r="E28" s="11" t="s">
        <v>96</v>
      </c>
      <c r="F28" s="11" t="s">
        <v>191</v>
      </c>
      <c r="G28" s="15" t="s">
        <v>153</v>
      </c>
      <c r="H28" s="15" t="s">
        <v>290</v>
      </c>
      <c r="I28" s="15" t="s">
        <v>210</v>
      </c>
      <c r="J28" s="15" t="s">
        <v>153</v>
      </c>
      <c r="K28" s="11" t="s">
        <v>102</v>
      </c>
      <c r="L28" s="15" t="s">
        <v>291</v>
      </c>
      <c r="M28" s="11" t="n">
        <f aca="false">COUNTIF(Taches!$B$6:$B$250,$A28)</f>
        <v>2</v>
      </c>
      <c r="N28" s="11" t="n">
        <v>2</v>
      </c>
      <c r="O28" s="20" t="s">
        <v>72</v>
      </c>
      <c r="P28" s="21" t="s">
        <v>292</v>
      </c>
      <c r="Q28" s="21" t="s">
        <v>293</v>
      </c>
      <c r="R28" s="21" t="s">
        <v>153</v>
      </c>
    </row>
    <row r="29" customFormat="false" ht="35.05" hidden="false" customHeight="false" outlineLevel="0" collapsed="false">
      <c r="A29" s="22" t="s">
        <v>294</v>
      </c>
      <c r="B29" s="10" t="s">
        <v>43</v>
      </c>
      <c r="C29" s="15" t="s">
        <v>295</v>
      </c>
      <c r="D29" s="10" t="s">
        <v>296</v>
      </c>
      <c r="E29" s="11" t="s">
        <v>177</v>
      </c>
      <c r="F29" s="11" t="s">
        <v>178</v>
      </c>
      <c r="G29" s="15" t="s">
        <v>168</v>
      </c>
      <c r="H29" s="15" t="s">
        <v>169</v>
      </c>
      <c r="I29" s="15" t="s">
        <v>297</v>
      </c>
      <c r="J29" s="15" t="s">
        <v>112</v>
      </c>
      <c r="K29" s="11" t="s">
        <v>130</v>
      </c>
      <c r="L29" s="15" t="s">
        <v>298</v>
      </c>
      <c r="M29" s="11" t="n">
        <f aca="false">COUNTIF(Taches!$B$6:$B$250,$A29)</f>
        <v>3</v>
      </c>
      <c r="N29" s="11" t="n">
        <v>1</v>
      </c>
      <c r="O29" s="20" t="s">
        <v>72</v>
      </c>
      <c r="P29" s="21" t="s">
        <v>181</v>
      </c>
      <c r="Q29" s="21" t="s">
        <v>173</v>
      </c>
      <c r="R29" s="21" t="s">
        <v>174</v>
      </c>
    </row>
    <row r="30" customFormat="false" ht="23.85" hidden="false" customHeight="false" outlineLevel="0" collapsed="false">
      <c r="A30" s="22" t="s">
        <v>299</v>
      </c>
      <c r="B30" s="10" t="s">
        <v>43</v>
      </c>
      <c r="C30" s="15" t="s">
        <v>295</v>
      </c>
      <c r="D30" s="10" t="s">
        <v>300</v>
      </c>
      <c r="E30" s="11" t="s">
        <v>301</v>
      </c>
      <c r="F30" s="11" t="s">
        <v>191</v>
      </c>
      <c r="G30" s="15" t="s">
        <v>153</v>
      </c>
      <c r="H30" s="15" t="s">
        <v>302</v>
      </c>
      <c r="I30" s="15" t="s">
        <v>193</v>
      </c>
      <c r="J30" s="15" t="s">
        <v>153</v>
      </c>
      <c r="K30" s="11" t="s">
        <v>194</v>
      </c>
      <c r="L30" s="15" t="s">
        <v>303</v>
      </c>
      <c r="M30" s="11" t="n">
        <f aca="false">COUNTIF(Taches!$B$6:$B$250,$A30)</f>
        <v>1</v>
      </c>
      <c r="N30" s="11" t="n">
        <v>3</v>
      </c>
      <c r="O30" s="20" t="s">
        <v>72</v>
      </c>
      <c r="P30" s="21" t="s">
        <v>304</v>
      </c>
      <c r="Q30" s="21" t="s">
        <v>305</v>
      </c>
      <c r="R30" s="21" t="s">
        <v>153</v>
      </c>
    </row>
    <row r="31" customFormat="false" ht="35.05" hidden="false" customHeight="false" outlineLevel="0" collapsed="false">
      <c r="A31" s="17" t="s">
        <v>306</v>
      </c>
      <c r="B31" s="18" t="s">
        <v>43</v>
      </c>
      <c r="C31" s="19" t="s">
        <v>295</v>
      </c>
      <c r="D31" s="18" t="s">
        <v>307</v>
      </c>
      <c r="E31" s="16" t="s">
        <v>153</v>
      </c>
      <c r="F31" s="17" t="s">
        <v>97</v>
      </c>
      <c r="G31" s="19" t="s">
        <v>308</v>
      </c>
      <c r="H31" s="19" t="s">
        <v>309</v>
      </c>
      <c r="I31" s="19" t="s">
        <v>310</v>
      </c>
      <c r="J31" s="19" t="s">
        <v>311</v>
      </c>
      <c r="K31" s="16" t="s">
        <v>312</v>
      </c>
      <c r="L31" s="19" t="s">
        <v>313</v>
      </c>
      <c r="M31" s="16" t="n">
        <f aca="false">COUNTIF(Taches!$B$6:$B$250,$A31)</f>
        <v>1</v>
      </c>
      <c r="N31" s="16" t="n">
        <v>2</v>
      </c>
      <c r="O31" s="20" t="s">
        <v>72</v>
      </c>
      <c r="P31" s="21" t="s">
        <v>314</v>
      </c>
      <c r="Q31" s="21" t="s">
        <v>315</v>
      </c>
      <c r="R31" s="21" t="s">
        <v>174</v>
      </c>
    </row>
    <row r="32" customFormat="false" ht="23.85" hidden="false" customHeight="false" outlineLevel="0" collapsed="false">
      <c r="A32" s="22" t="s">
        <v>316</v>
      </c>
      <c r="B32" s="10" t="s">
        <v>43</v>
      </c>
      <c r="C32" s="15" t="s">
        <v>317</v>
      </c>
      <c r="D32" s="10" t="s">
        <v>318</v>
      </c>
      <c r="E32" s="11" t="s">
        <v>109</v>
      </c>
      <c r="F32" s="11" t="s">
        <v>319</v>
      </c>
      <c r="G32" s="15" t="s">
        <v>153</v>
      </c>
      <c r="H32" s="15" t="s">
        <v>320</v>
      </c>
      <c r="I32" s="15" t="s">
        <v>193</v>
      </c>
      <c r="J32" s="15" t="s">
        <v>153</v>
      </c>
      <c r="K32" s="11" t="s">
        <v>321</v>
      </c>
      <c r="L32" s="15" t="s">
        <v>322</v>
      </c>
      <c r="M32" s="11" t="n">
        <f aca="false">COUNTIF(Taches!$B$6:$B$250,$A32)</f>
        <v>2</v>
      </c>
      <c r="N32" s="11" t="n">
        <v>1</v>
      </c>
      <c r="O32" s="20" t="s">
        <v>72</v>
      </c>
      <c r="P32" s="21" t="s">
        <v>323</v>
      </c>
      <c r="Q32" s="21" t="s">
        <v>324</v>
      </c>
      <c r="R32" s="21" t="s">
        <v>325</v>
      </c>
    </row>
    <row r="33" customFormat="false" ht="23.85" hidden="false" customHeight="false" outlineLevel="0" collapsed="false">
      <c r="A33" s="22" t="s">
        <v>326</v>
      </c>
      <c r="B33" s="10" t="s">
        <v>43</v>
      </c>
      <c r="C33" s="15" t="s">
        <v>317</v>
      </c>
      <c r="D33" s="10" t="s">
        <v>327</v>
      </c>
      <c r="E33" s="11" t="s">
        <v>96</v>
      </c>
      <c r="F33" s="11" t="s">
        <v>319</v>
      </c>
      <c r="G33" s="15" t="s">
        <v>153</v>
      </c>
      <c r="H33" s="15" t="s">
        <v>328</v>
      </c>
      <c r="I33" s="15" t="s">
        <v>193</v>
      </c>
      <c r="J33" s="15" t="s">
        <v>153</v>
      </c>
      <c r="K33" s="11" t="s">
        <v>329</v>
      </c>
      <c r="L33" s="15" t="s">
        <v>330</v>
      </c>
      <c r="M33" s="11" t="n">
        <f aca="false">COUNTIF(Taches!$B$6:$B$250,$A33)</f>
        <v>2</v>
      </c>
      <c r="N33" s="11" t="n">
        <v>1</v>
      </c>
      <c r="O33" s="20" t="s">
        <v>72</v>
      </c>
      <c r="P33" s="21" t="s">
        <v>331</v>
      </c>
      <c r="Q33" s="21" t="s">
        <v>332</v>
      </c>
      <c r="R33" s="21" t="s">
        <v>333</v>
      </c>
    </row>
    <row r="34" customFormat="false" ht="23.85" hidden="false" customHeight="false" outlineLevel="0" collapsed="false">
      <c r="A34" s="22" t="s">
        <v>334</v>
      </c>
      <c r="B34" s="10" t="s">
        <v>41</v>
      </c>
      <c r="C34" s="15" t="s">
        <v>317</v>
      </c>
      <c r="D34" s="10" t="s">
        <v>335</v>
      </c>
      <c r="E34" s="11" t="s">
        <v>246</v>
      </c>
      <c r="F34" s="11" t="s">
        <v>191</v>
      </c>
      <c r="G34" s="15" t="s">
        <v>153</v>
      </c>
      <c r="H34" s="15" t="s">
        <v>336</v>
      </c>
      <c r="I34" s="15" t="s">
        <v>193</v>
      </c>
      <c r="J34" s="15" t="s">
        <v>153</v>
      </c>
      <c r="K34" s="11" t="s">
        <v>337</v>
      </c>
      <c r="L34" s="15" t="s">
        <v>338</v>
      </c>
      <c r="M34" s="11" t="n">
        <f aca="false">COUNTIF(Taches!$B$6:$B$250,$A34)</f>
        <v>2</v>
      </c>
      <c r="N34" s="11" t="n">
        <v>1</v>
      </c>
      <c r="O34" s="20" t="s">
        <v>72</v>
      </c>
      <c r="P34" s="21" t="s">
        <v>339</v>
      </c>
      <c r="Q34" s="21" t="s">
        <v>340</v>
      </c>
      <c r="R34" s="21" t="s">
        <v>153</v>
      </c>
    </row>
    <row r="35" customFormat="false" ht="23.85" hidden="false" customHeight="false" outlineLevel="0" collapsed="false">
      <c r="A35" s="22" t="s">
        <v>341</v>
      </c>
      <c r="B35" s="10" t="s">
        <v>43</v>
      </c>
      <c r="C35" s="15" t="s">
        <v>317</v>
      </c>
      <c r="D35" s="10" t="s">
        <v>342</v>
      </c>
      <c r="E35" s="11" t="s">
        <v>343</v>
      </c>
      <c r="F35" s="11" t="s">
        <v>191</v>
      </c>
      <c r="G35" s="15" t="s">
        <v>153</v>
      </c>
      <c r="H35" s="15" t="s">
        <v>344</v>
      </c>
      <c r="I35" s="15" t="s">
        <v>193</v>
      </c>
      <c r="J35" s="15" t="s">
        <v>153</v>
      </c>
      <c r="K35" s="11" t="s">
        <v>194</v>
      </c>
      <c r="L35" s="15" t="s">
        <v>345</v>
      </c>
      <c r="M35" s="11" t="n">
        <f aca="false">COUNTIF(Taches!$B$6:$B$250,$A35)</f>
        <v>1</v>
      </c>
      <c r="N35" s="11" t="n">
        <v>2</v>
      </c>
      <c r="O35" s="20" t="s">
        <v>76</v>
      </c>
      <c r="P35" s="21" t="s">
        <v>152</v>
      </c>
      <c r="Q35" s="21" t="s">
        <v>153</v>
      </c>
      <c r="R35" s="21" t="s">
        <v>153</v>
      </c>
    </row>
    <row r="36" customFormat="false" ht="23.85" hidden="false" customHeight="false" outlineLevel="0" collapsed="false">
      <c r="A36" s="22" t="s">
        <v>346</v>
      </c>
      <c r="B36" s="10" t="s">
        <v>43</v>
      </c>
      <c r="C36" s="15" t="s">
        <v>317</v>
      </c>
      <c r="D36" s="10" t="s">
        <v>347</v>
      </c>
      <c r="E36" s="11" t="s">
        <v>343</v>
      </c>
      <c r="F36" s="11" t="s">
        <v>191</v>
      </c>
      <c r="G36" s="15" t="s">
        <v>153</v>
      </c>
      <c r="H36" s="15" t="s">
        <v>348</v>
      </c>
      <c r="I36" s="15" t="s">
        <v>201</v>
      </c>
      <c r="J36" s="15" t="s">
        <v>153</v>
      </c>
      <c r="K36" s="11" t="s">
        <v>349</v>
      </c>
      <c r="L36" s="15" t="s">
        <v>350</v>
      </c>
      <c r="M36" s="11" t="n">
        <f aca="false">COUNTIF(Taches!$B$6:$B$250,$A36)</f>
        <v>1</v>
      </c>
      <c r="N36" s="11" t="n">
        <v>3</v>
      </c>
      <c r="O36" s="20" t="s">
        <v>75</v>
      </c>
      <c r="P36" s="21" t="s">
        <v>351</v>
      </c>
      <c r="Q36" s="21" t="s">
        <v>153</v>
      </c>
      <c r="R36" s="21" t="s">
        <v>278</v>
      </c>
    </row>
    <row r="37" customFormat="false" ht="23.85" hidden="false" customHeight="false" outlineLevel="0" collapsed="false">
      <c r="A37" s="22" t="s">
        <v>352</v>
      </c>
      <c r="B37" s="10" t="s">
        <v>41</v>
      </c>
      <c r="C37" s="15" t="s">
        <v>353</v>
      </c>
      <c r="D37" s="10" t="s">
        <v>354</v>
      </c>
      <c r="E37" s="11" t="s">
        <v>246</v>
      </c>
      <c r="F37" s="11" t="s">
        <v>191</v>
      </c>
      <c r="G37" s="15" t="s">
        <v>153</v>
      </c>
      <c r="H37" s="15" t="s">
        <v>355</v>
      </c>
      <c r="I37" s="15" t="s">
        <v>193</v>
      </c>
      <c r="J37" s="15" t="s">
        <v>153</v>
      </c>
      <c r="K37" s="11" t="s">
        <v>194</v>
      </c>
      <c r="L37" s="15" t="s">
        <v>356</v>
      </c>
      <c r="M37" s="11" t="n">
        <f aca="false">COUNTIF(Taches!$B$6:$B$250,$A37)</f>
        <v>3</v>
      </c>
      <c r="N37" s="11" t="n">
        <v>1</v>
      </c>
      <c r="O37" s="20" t="s">
        <v>72</v>
      </c>
      <c r="P37" s="21" t="s">
        <v>357</v>
      </c>
      <c r="Q37" s="21" t="s">
        <v>358</v>
      </c>
      <c r="R37" s="21" t="s">
        <v>359</v>
      </c>
    </row>
    <row r="38" customFormat="false" ht="23.85" hidden="false" customHeight="false" outlineLevel="0" collapsed="false">
      <c r="A38" s="22" t="s">
        <v>360</v>
      </c>
      <c r="B38" s="10" t="s">
        <v>41</v>
      </c>
      <c r="C38" s="15" t="s">
        <v>353</v>
      </c>
      <c r="D38" s="10" t="s">
        <v>361</v>
      </c>
      <c r="E38" s="11" t="s">
        <v>362</v>
      </c>
      <c r="F38" s="11" t="s">
        <v>191</v>
      </c>
      <c r="G38" s="15" t="s">
        <v>153</v>
      </c>
      <c r="H38" s="15" t="s">
        <v>363</v>
      </c>
      <c r="I38" s="15" t="s">
        <v>193</v>
      </c>
      <c r="J38" s="15" t="s">
        <v>153</v>
      </c>
      <c r="K38" s="11" t="s">
        <v>194</v>
      </c>
      <c r="L38" s="15" t="s">
        <v>364</v>
      </c>
      <c r="M38" s="11" t="n">
        <f aca="false">COUNTIF(Taches!$B$6:$B$250,$A38)</f>
        <v>1</v>
      </c>
      <c r="N38" s="11" t="n">
        <v>1</v>
      </c>
      <c r="O38" s="20" t="s">
        <v>72</v>
      </c>
      <c r="P38" s="21" t="s">
        <v>365</v>
      </c>
      <c r="Q38" s="21" t="s">
        <v>366</v>
      </c>
      <c r="R38" s="21" t="s">
        <v>153</v>
      </c>
    </row>
    <row r="39" customFormat="false" ht="23.85" hidden="false" customHeight="false" outlineLevel="0" collapsed="false">
      <c r="A39" s="22" t="s">
        <v>367</v>
      </c>
      <c r="B39" s="10" t="s">
        <v>41</v>
      </c>
      <c r="C39" s="15" t="s">
        <v>353</v>
      </c>
      <c r="D39" s="10" t="s">
        <v>368</v>
      </c>
      <c r="E39" s="11" t="s">
        <v>369</v>
      </c>
      <c r="F39" s="11" t="s">
        <v>191</v>
      </c>
      <c r="G39" s="15" t="s">
        <v>153</v>
      </c>
      <c r="H39" s="15" t="s">
        <v>370</v>
      </c>
      <c r="I39" s="15" t="s">
        <v>193</v>
      </c>
      <c r="J39" s="15" t="s">
        <v>153</v>
      </c>
      <c r="K39" s="11" t="s">
        <v>371</v>
      </c>
      <c r="L39" s="15" t="s">
        <v>372</v>
      </c>
      <c r="M39" s="11" t="n">
        <f aca="false">COUNTIF(Taches!$B$6:$B$250,$A39)</f>
        <v>1</v>
      </c>
      <c r="N39" s="11" t="n">
        <v>2</v>
      </c>
      <c r="O39" s="20" t="s">
        <v>72</v>
      </c>
      <c r="P39" s="21" t="s">
        <v>373</v>
      </c>
      <c r="Q39" s="21" t="s">
        <v>374</v>
      </c>
      <c r="R39" s="21" t="s">
        <v>153</v>
      </c>
    </row>
    <row r="40" customFormat="false" ht="23.85" hidden="false" customHeight="false" outlineLevel="0" collapsed="false">
      <c r="A40" s="22" t="s">
        <v>375</v>
      </c>
      <c r="B40" s="10" t="s">
        <v>41</v>
      </c>
      <c r="C40" s="15" t="s">
        <v>353</v>
      </c>
      <c r="D40" s="10" t="s">
        <v>376</v>
      </c>
      <c r="E40" s="11" t="s">
        <v>246</v>
      </c>
      <c r="F40" s="11" t="s">
        <v>191</v>
      </c>
      <c r="G40" s="15" t="s">
        <v>153</v>
      </c>
      <c r="H40" s="15" t="s">
        <v>377</v>
      </c>
      <c r="I40" s="15" t="s">
        <v>193</v>
      </c>
      <c r="J40" s="15" t="s">
        <v>153</v>
      </c>
      <c r="K40" s="11" t="s">
        <v>378</v>
      </c>
      <c r="L40" s="15" t="s">
        <v>379</v>
      </c>
      <c r="M40" s="11" t="n">
        <f aca="false">COUNTIF(Taches!$B$6:$B$250,$A40)</f>
        <v>1</v>
      </c>
      <c r="N40" s="11" t="n">
        <v>3</v>
      </c>
      <c r="O40" s="20" t="s">
        <v>72</v>
      </c>
      <c r="P40" s="21" t="s">
        <v>380</v>
      </c>
      <c r="Q40" s="21" t="s">
        <v>381</v>
      </c>
      <c r="R40" s="21" t="s">
        <v>153</v>
      </c>
    </row>
    <row r="41" customFormat="false" ht="35.05" hidden="false" customHeight="false" outlineLevel="0" collapsed="false">
      <c r="A41" s="22" t="s">
        <v>382</v>
      </c>
      <c r="B41" s="10" t="s">
        <v>42</v>
      </c>
      <c r="C41" s="15" t="s">
        <v>383</v>
      </c>
      <c r="D41" s="10" t="s">
        <v>384</v>
      </c>
      <c r="E41" s="11" t="s">
        <v>369</v>
      </c>
      <c r="F41" s="11" t="s">
        <v>191</v>
      </c>
      <c r="G41" s="15" t="s">
        <v>153</v>
      </c>
      <c r="H41" s="15" t="s">
        <v>385</v>
      </c>
      <c r="I41" s="15" t="s">
        <v>193</v>
      </c>
      <c r="J41" s="15" t="s">
        <v>153</v>
      </c>
      <c r="K41" s="11" t="s">
        <v>386</v>
      </c>
      <c r="L41" s="15" t="s">
        <v>387</v>
      </c>
      <c r="M41" s="11" t="n">
        <f aca="false">COUNTIF(Taches!$B$6:$B$250,$A41)</f>
        <v>4</v>
      </c>
      <c r="N41" s="11" t="n">
        <v>1</v>
      </c>
      <c r="O41" s="20" t="s">
        <v>72</v>
      </c>
      <c r="P41" s="21" t="s">
        <v>388</v>
      </c>
      <c r="Q41" s="21" t="s">
        <v>389</v>
      </c>
      <c r="R41" s="21" t="s">
        <v>390</v>
      </c>
    </row>
    <row r="42" customFormat="false" ht="23.85" hidden="false" customHeight="false" outlineLevel="0" collapsed="false">
      <c r="A42" s="22" t="s">
        <v>391</v>
      </c>
      <c r="B42" s="10" t="s">
        <v>42</v>
      </c>
      <c r="C42" s="15" t="s">
        <v>383</v>
      </c>
      <c r="D42" s="10" t="s">
        <v>392</v>
      </c>
      <c r="E42" s="11" t="s">
        <v>369</v>
      </c>
      <c r="F42" s="11" t="s">
        <v>191</v>
      </c>
      <c r="G42" s="15" t="s">
        <v>153</v>
      </c>
      <c r="H42" s="15" t="s">
        <v>393</v>
      </c>
      <c r="I42" s="15" t="s">
        <v>193</v>
      </c>
      <c r="J42" s="15" t="s">
        <v>153</v>
      </c>
      <c r="K42" s="11" t="s">
        <v>194</v>
      </c>
      <c r="L42" s="15" t="s">
        <v>394</v>
      </c>
      <c r="M42" s="11" t="n">
        <f aca="false">COUNTIF(Taches!$B$6:$B$250,$A42)</f>
        <v>3</v>
      </c>
      <c r="N42" s="11" t="n">
        <v>1</v>
      </c>
      <c r="O42" s="20" t="s">
        <v>72</v>
      </c>
      <c r="P42" s="21" t="s">
        <v>395</v>
      </c>
      <c r="Q42" s="21" t="s">
        <v>396</v>
      </c>
      <c r="R42" s="21" t="s">
        <v>153</v>
      </c>
    </row>
    <row r="43" customFormat="false" ht="35.05" hidden="false" customHeight="false" outlineLevel="0" collapsed="false">
      <c r="A43" s="22" t="s">
        <v>397</v>
      </c>
      <c r="B43" s="10" t="s">
        <v>41</v>
      </c>
      <c r="C43" s="15" t="s">
        <v>383</v>
      </c>
      <c r="D43" s="10" t="s">
        <v>398</v>
      </c>
      <c r="E43" s="11" t="s">
        <v>369</v>
      </c>
      <c r="F43" s="11" t="s">
        <v>191</v>
      </c>
      <c r="G43" s="15" t="s">
        <v>153</v>
      </c>
      <c r="H43" s="15" t="s">
        <v>399</v>
      </c>
      <c r="I43" s="15" t="s">
        <v>193</v>
      </c>
      <c r="J43" s="15" t="s">
        <v>153</v>
      </c>
      <c r="K43" s="11" t="s">
        <v>400</v>
      </c>
      <c r="L43" s="15" t="s">
        <v>401</v>
      </c>
      <c r="M43" s="11" t="n">
        <f aca="false">COUNTIF(Taches!$B$6:$B$250,$A43)</f>
        <v>4</v>
      </c>
      <c r="N43" s="11" t="n">
        <v>1</v>
      </c>
      <c r="O43" s="20" t="s">
        <v>72</v>
      </c>
      <c r="P43" s="21" t="s">
        <v>402</v>
      </c>
      <c r="Q43" s="21" t="s">
        <v>403</v>
      </c>
      <c r="R43" s="21" t="s">
        <v>153</v>
      </c>
    </row>
    <row r="44" customFormat="false" ht="23.85" hidden="false" customHeight="false" outlineLevel="0" collapsed="false">
      <c r="A44" s="22" t="s">
        <v>404</v>
      </c>
      <c r="B44" s="10" t="s">
        <v>42</v>
      </c>
      <c r="C44" s="15" t="s">
        <v>383</v>
      </c>
      <c r="D44" s="10" t="s">
        <v>405</v>
      </c>
      <c r="E44" s="11" t="s">
        <v>301</v>
      </c>
      <c r="F44" s="11" t="s">
        <v>191</v>
      </c>
      <c r="G44" s="15" t="s">
        <v>153</v>
      </c>
      <c r="H44" s="15" t="s">
        <v>406</v>
      </c>
      <c r="I44" s="15" t="s">
        <v>193</v>
      </c>
      <c r="J44" s="15" t="s">
        <v>153</v>
      </c>
      <c r="K44" s="11" t="s">
        <v>194</v>
      </c>
      <c r="L44" s="15" t="s">
        <v>407</v>
      </c>
      <c r="M44" s="11" t="n">
        <f aca="false">COUNTIF(Taches!$B$6:$B$250,$A44)</f>
        <v>1</v>
      </c>
      <c r="N44" s="11" t="n">
        <v>2</v>
      </c>
      <c r="O44" s="20" t="s">
        <v>72</v>
      </c>
      <c r="P44" s="21" t="s">
        <v>408</v>
      </c>
      <c r="Q44" s="21" t="s">
        <v>381</v>
      </c>
      <c r="R44" s="21" t="s">
        <v>153</v>
      </c>
    </row>
    <row r="45" customFormat="false" ht="23.85" hidden="false" customHeight="false" outlineLevel="0" collapsed="false">
      <c r="A45" s="22" t="s">
        <v>409</v>
      </c>
      <c r="B45" s="10" t="s">
        <v>41</v>
      </c>
      <c r="C45" s="15" t="s">
        <v>410</v>
      </c>
      <c r="D45" s="10" t="s">
        <v>411</v>
      </c>
      <c r="E45" s="11" t="s">
        <v>177</v>
      </c>
      <c r="F45" s="11" t="s">
        <v>191</v>
      </c>
      <c r="G45" s="15" t="s">
        <v>153</v>
      </c>
      <c r="H45" s="15" t="s">
        <v>412</v>
      </c>
      <c r="I45" s="15" t="s">
        <v>193</v>
      </c>
      <c r="J45" s="15" t="s">
        <v>153</v>
      </c>
      <c r="K45" s="11" t="s">
        <v>194</v>
      </c>
      <c r="L45" s="15" t="s">
        <v>413</v>
      </c>
      <c r="M45" s="11" t="n">
        <f aca="false">COUNTIF(Taches!$B$6:$B$250,$A45)</f>
        <v>2</v>
      </c>
      <c r="N45" s="11" t="n">
        <v>2</v>
      </c>
      <c r="O45" s="20" t="s">
        <v>72</v>
      </c>
      <c r="P45" s="21" t="s">
        <v>414</v>
      </c>
      <c r="Q45" s="21" t="s">
        <v>415</v>
      </c>
      <c r="R45" s="21" t="s">
        <v>153</v>
      </c>
    </row>
    <row r="46" customFormat="false" ht="23.85" hidden="false" customHeight="false" outlineLevel="0" collapsed="false">
      <c r="A46" s="22" t="s">
        <v>416</v>
      </c>
      <c r="B46" s="10" t="s">
        <v>41</v>
      </c>
      <c r="C46" s="15" t="s">
        <v>410</v>
      </c>
      <c r="D46" s="10" t="s">
        <v>417</v>
      </c>
      <c r="E46" s="11" t="s">
        <v>246</v>
      </c>
      <c r="F46" s="11" t="s">
        <v>191</v>
      </c>
      <c r="G46" s="15" t="s">
        <v>153</v>
      </c>
      <c r="H46" s="15" t="s">
        <v>418</v>
      </c>
      <c r="I46" s="15" t="s">
        <v>193</v>
      </c>
      <c r="J46" s="15" t="s">
        <v>153</v>
      </c>
      <c r="K46" s="11" t="s">
        <v>194</v>
      </c>
      <c r="L46" s="15" t="s">
        <v>419</v>
      </c>
      <c r="M46" s="11" t="n">
        <f aca="false">COUNTIF(Taches!$B$6:$B$250,$A46)</f>
        <v>1</v>
      </c>
      <c r="N46" s="11" t="n">
        <v>3</v>
      </c>
      <c r="O46" s="20" t="s">
        <v>72</v>
      </c>
      <c r="P46" s="21" t="s">
        <v>420</v>
      </c>
      <c r="Q46" s="21" t="s">
        <v>415</v>
      </c>
      <c r="R46" s="21" t="s">
        <v>421</v>
      </c>
    </row>
    <row r="47" customFormat="false" ht="23.85" hidden="false" customHeight="false" outlineLevel="0" collapsed="false">
      <c r="A47" s="22" t="s">
        <v>422</v>
      </c>
      <c r="B47" s="10" t="s">
        <v>41</v>
      </c>
      <c r="C47" s="15" t="s">
        <v>410</v>
      </c>
      <c r="D47" s="10" t="s">
        <v>423</v>
      </c>
      <c r="E47" s="11" t="s">
        <v>96</v>
      </c>
      <c r="F47" s="11" t="s">
        <v>191</v>
      </c>
      <c r="G47" s="15" t="s">
        <v>153</v>
      </c>
      <c r="H47" s="15" t="s">
        <v>424</v>
      </c>
      <c r="I47" s="15" t="s">
        <v>193</v>
      </c>
      <c r="J47" s="15" t="s">
        <v>153</v>
      </c>
      <c r="K47" s="11" t="s">
        <v>194</v>
      </c>
      <c r="L47" s="15" t="s">
        <v>425</v>
      </c>
      <c r="M47" s="11" t="n">
        <f aca="false">COUNTIF(Taches!$B$6:$B$250,$A47)</f>
        <v>1</v>
      </c>
      <c r="N47" s="11" t="n">
        <v>2</v>
      </c>
      <c r="O47" s="20" t="s">
        <v>72</v>
      </c>
      <c r="P47" s="21" t="s">
        <v>426</v>
      </c>
      <c r="Q47" s="21" t="s">
        <v>427</v>
      </c>
      <c r="R47" s="21" t="s">
        <v>428</v>
      </c>
    </row>
    <row r="48" customFormat="false" ht="23.85" hidden="false" customHeight="false" outlineLevel="0" collapsed="false">
      <c r="A48" s="22" t="s">
        <v>429</v>
      </c>
      <c r="B48" s="10" t="s">
        <v>41</v>
      </c>
      <c r="C48" s="15" t="s">
        <v>410</v>
      </c>
      <c r="D48" s="10" t="s">
        <v>430</v>
      </c>
      <c r="E48" s="11" t="s">
        <v>431</v>
      </c>
      <c r="F48" s="11" t="s">
        <v>432</v>
      </c>
      <c r="G48" s="15" t="s">
        <v>433</v>
      </c>
      <c r="H48" s="15" t="s">
        <v>434</v>
      </c>
      <c r="I48" s="15" t="s">
        <v>193</v>
      </c>
      <c r="J48" s="15" t="s">
        <v>435</v>
      </c>
      <c r="K48" s="11" t="s">
        <v>436</v>
      </c>
      <c r="L48" s="15" t="s">
        <v>437</v>
      </c>
      <c r="M48" s="11" t="n">
        <f aca="false">COUNTIF(Taches!$B$6:$B$250,$A48)</f>
        <v>1</v>
      </c>
      <c r="N48" s="11" t="n">
        <v>1</v>
      </c>
      <c r="O48" s="20" t="s">
        <v>73</v>
      </c>
      <c r="P48" s="21" t="s">
        <v>438</v>
      </c>
      <c r="Q48" s="21" t="s">
        <v>439</v>
      </c>
      <c r="R48" s="21" t="s">
        <v>440</v>
      </c>
    </row>
    <row r="49" customFormat="false" ht="23.85" hidden="false" customHeight="false" outlineLevel="0" collapsed="false">
      <c r="A49" s="22" t="s">
        <v>441</v>
      </c>
      <c r="B49" s="10" t="s">
        <v>41</v>
      </c>
      <c r="C49" s="15" t="s">
        <v>410</v>
      </c>
      <c r="D49" s="10" t="s">
        <v>442</v>
      </c>
      <c r="E49" s="11" t="s">
        <v>301</v>
      </c>
      <c r="F49" s="11" t="s">
        <v>191</v>
      </c>
      <c r="G49" s="15" t="s">
        <v>153</v>
      </c>
      <c r="H49" s="15" t="s">
        <v>443</v>
      </c>
      <c r="I49" s="15" t="s">
        <v>193</v>
      </c>
      <c r="J49" s="15" t="s">
        <v>153</v>
      </c>
      <c r="K49" s="11" t="s">
        <v>194</v>
      </c>
      <c r="L49" s="15" t="s">
        <v>444</v>
      </c>
      <c r="M49" s="11" t="n">
        <f aca="false">COUNTIF(Taches!$B$6:$B$250,$A49)</f>
        <v>1</v>
      </c>
      <c r="N49" s="11" t="n">
        <v>3</v>
      </c>
      <c r="O49" s="20" t="s">
        <v>72</v>
      </c>
      <c r="P49" s="21" t="s">
        <v>445</v>
      </c>
      <c r="Q49" s="21" t="s">
        <v>415</v>
      </c>
      <c r="R49" s="21" t="s">
        <v>153</v>
      </c>
    </row>
    <row r="50" customFormat="false" ht="23.85" hidden="false" customHeight="false" outlineLevel="0" collapsed="false">
      <c r="A50" s="22" t="s">
        <v>446</v>
      </c>
      <c r="B50" s="10" t="s">
        <v>41</v>
      </c>
      <c r="C50" s="15" t="s">
        <v>410</v>
      </c>
      <c r="D50" s="10" t="s">
        <v>447</v>
      </c>
      <c r="E50" s="11" t="s">
        <v>448</v>
      </c>
      <c r="F50" s="11" t="s">
        <v>191</v>
      </c>
      <c r="G50" s="15" t="s">
        <v>153</v>
      </c>
      <c r="H50" s="15" t="s">
        <v>449</v>
      </c>
      <c r="I50" s="15" t="s">
        <v>193</v>
      </c>
      <c r="J50" s="15" t="s">
        <v>153</v>
      </c>
      <c r="K50" s="11" t="s">
        <v>450</v>
      </c>
      <c r="L50" s="15" t="s">
        <v>451</v>
      </c>
      <c r="M50" s="11" t="n">
        <f aca="false">COUNTIF(Taches!$B$6:$B$250,$A50)</f>
        <v>2</v>
      </c>
      <c r="N50" s="11" t="n">
        <v>2</v>
      </c>
      <c r="O50" s="20" t="s">
        <v>72</v>
      </c>
      <c r="P50" s="21" t="s">
        <v>452</v>
      </c>
      <c r="Q50" s="21" t="s">
        <v>381</v>
      </c>
      <c r="R50" s="21" t="s">
        <v>153</v>
      </c>
    </row>
    <row r="51" customFormat="false" ht="23.85" hidden="false" customHeight="false" outlineLevel="0" collapsed="false">
      <c r="A51" s="22" t="s">
        <v>453</v>
      </c>
      <c r="B51" s="10" t="s">
        <v>44</v>
      </c>
      <c r="C51" s="15" t="s">
        <v>44</v>
      </c>
      <c r="D51" s="10" t="s">
        <v>454</v>
      </c>
      <c r="E51" s="11" t="s">
        <v>455</v>
      </c>
      <c r="F51" s="11" t="s">
        <v>191</v>
      </c>
      <c r="G51" s="15" t="s">
        <v>153</v>
      </c>
      <c r="H51" s="15" t="s">
        <v>456</v>
      </c>
      <c r="I51" s="15" t="s">
        <v>193</v>
      </c>
      <c r="J51" s="15" t="s">
        <v>153</v>
      </c>
      <c r="K51" s="11" t="s">
        <v>436</v>
      </c>
      <c r="L51" s="15" t="s">
        <v>457</v>
      </c>
      <c r="M51" s="11" t="n">
        <f aca="false">COUNTIF(Taches!$B$6:$B$250,$A51)</f>
        <v>1</v>
      </c>
      <c r="N51" s="11" t="n">
        <v>2</v>
      </c>
      <c r="O51" s="20" t="s">
        <v>72</v>
      </c>
      <c r="P51" s="21" t="s">
        <v>458</v>
      </c>
      <c r="Q51" s="21" t="s">
        <v>459</v>
      </c>
      <c r="R51" s="21" t="s">
        <v>153</v>
      </c>
    </row>
    <row r="52" customFormat="false" ht="23.85" hidden="false" customHeight="false" outlineLevel="0" collapsed="false">
      <c r="A52" s="22" t="s">
        <v>460</v>
      </c>
      <c r="B52" s="10" t="s">
        <v>44</v>
      </c>
      <c r="C52" s="15" t="s">
        <v>44</v>
      </c>
      <c r="D52" s="10" t="s">
        <v>461</v>
      </c>
      <c r="E52" s="11" t="s">
        <v>462</v>
      </c>
      <c r="F52" s="11" t="s">
        <v>191</v>
      </c>
      <c r="G52" s="15" t="s">
        <v>153</v>
      </c>
      <c r="H52" s="15" t="s">
        <v>463</v>
      </c>
      <c r="I52" s="15" t="s">
        <v>193</v>
      </c>
      <c r="J52" s="15" t="s">
        <v>153</v>
      </c>
      <c r="K52" s="11" t="s">
        <v>464</v>
      </c>
      <c r="L52" s="15" t="s">
        <v>465</v>
      </c>
      <c r="M52" s="11" t="n">
        <f aca="false">COUNTIF(Taches!$B$6:$B$250,$A52)</f>
        <v>1</v>
      </c>
      <c r="N52" s="11" t="n">
        <v>2</v>
      </c>
      <c r="O52" s="20" t="s">
        <v>72</v>
      </c>
      <c r="P52" s="21" t="s">
        <v>466</v>
      </c>
      <c r="Q52" s="21" t="s">
        <v>381</v>
      </c>
      <c r="R52" s="21" t="s">
        <v>467</v>
      </c>
    </row>
    <row r="53" customFormat="false" ht="23.85" hidden="false" customHeight="false" outlineLevel="0" collapsed="false">
      <c r="A53" s="22" t="s">
        <v>468</v>
      </c>
      <c r="B53" s="10" t="s">
        <v>44</v>
      </c>
      <c r="C53" s="15" t="s">
        <v>44</v>
      </c>
      <c r="D53" s="10" t="s">
        <v>469</v>
      </c>
      <c r="E53" s="11" t="s">
        <v>470</v>
      </c>
      <c r="F53" s="11" t="s">
        <v>191</v>
      </c>
      <c r="G53" s="15" t="s">
        <v>153</v>
      </c>
      <c r="H53" s="15" t="s">
        <v>471</v>
      </c>
      <c r="I53" s="15" t="s">
        <v>193</v>
      </c>
      <c r="J53" s="15" t="s">
        <v>153</v>
      </c>
      <c r="K53" s="11" t="s">
        <v>472</v>
      </c>
      <c r="L53" s="15" t="s">
        <v>473</v>
      </c>
      <c r="M53" s="11" t="n">
        <f aca="false">COUNTIF(Taches!$B$6:$B$250,$A53)</f>
        <v>1</v>
      </c>
      <c r="N53" s="11" t="n">
        <v>3</v>
      </c>
      <c r="O53" s="20" t="s">
        <v>72</v>
      </c>
      <c r="P53" s="21" t="s">
        <v>474</v>
      </c>
      <c r="Q53" s="21" t="s">
        <v>475</v>
      </c>
      <c r="R53" s="21" t="s">
        <v>153</v>
      </c>
    </row>
    <row r="54" customFormat="false" ht="23.85" hidden="false" customHeight="false" outlineLevel="0" collapsed="false">
      <c r="A54" s="22" t="s">
        <v>476</v>
      </c>
      <c r="B54" s="10" t="s">
        <v>44</v>
      </c>
      <c r="C54" s="15" t="s">
        <v>44</v>
      </c>
      <c r="D54" s="10" t="s">
        <v>477</v>
      </c>
      <c r="E54" s="11" t="s">
        <v>301</v>
      </c>
      <c r="F54" s="11" t="s">
        <v>191</v>
      </c>
      <c r="G54" s="15" t="s">
        <v>153</v>
      </c>
      <c r="H54" s="15" t="s">
        <v>478</v>
      </c>
      <c r="I54" s="15" t="s">
        <v>193</v>
      </c>
      <c r="J54" s="15" t="s">
        <v>153</v>
      </c>
      <c r="K54" s="11" t="s">
        <v>194</v>
      </c>
      <c r="L54" s="15" t="s">
        <v>479</v>
      </c>
      <c r="M54" s="11" t="n">
        <f aca="false">COUNTIF(Taches!$B$6:$B$250,$A54)</f>
        <v>1</v>
      </c>
      <c r="N54" s="11" t="n">
        <v>3</v>
      </c>
      <c r="O54" s="20" t="s">
        <v>72</v>
      </c>
      <c r="P54" s="21" t="s">
        <v>304</v>
      </c>
      <c r="Q54" s="21" t="s">
        <v>480</v>
      </c>
      <c r="R54" s="21" t="s">
        <v>153</v>
      </c>
    </row>
    <row r="55" customFormat="false" ht="23.85" hidden="false" customHeight="false" outlineLevel="0" collapsed="false">
      <c r="A55" s="22" t="s">
        <v>481</v>
      </c>
      <c r="B55" s="10" t="s">
        <v>42</v>
      </c>
      <c r="C55" s="15" t="s">
        <v>44</v>
      </c>
      <c r="D55" s="10" t="s">
        <v>482</v>
      </c>
      <c r="E55" s="11" t="s">
        <v>483</v>
      </c>
      <c r="F55" s="11" t="s">
        <v>191</v>
      </c>
      <c r="G55" s="15" t="s">
        <v>153</v>
      </c>
      <c r="H55" s="15" t="s">
        <v>484</v>
      </c>
      <c r="I55" s="15" t="s">
        <v>193</v>
      </c>
      <c r="J55" s="15" t="s">
        <v>153</v>
      </c>
      <c r="K55" s="11" t="s">
        <v>485</v>
      </c>
      <c r="L55" s="15" t="s">
        <v>486</v>
      </c>
      <c r="M55" s="11" t="n">
        <f aca="false">COUNTIF(Taches!$B$6:$B$250,$A55)</f>
        <v>1</v>
      </c>
      <c r="N55" s="11" t="n">
        <v>3</v>
      </c>
      <c r="O55" s="20" t="s">
        <v>72</v>
      </c>
      <c r="P55" s="21" t="s">
        <v>487</v>
      </c>
      <c r="Q55" s="21" t="s">
        <v>488</v>
      </c>
      <c r="R55" s="21" t="s">
        <v>153</v>
      </c>
    </row>
    <row r="56" customFormat="false" ht="23.85" hidden="false" customHeight="false" outlineLevel="0" collapsed="false">
      <c r="A56" s="22" t="s">
        <v>489</v>
      </c>
      <c r="B56" s="10" t="s">
        <v>47</v>
      </c>
      <c r="C56" s="15" t="s">
        <v>490</v>
      </c>
      <c r="D56" s="10" t="s">
        <v>491</v>
      </c>
      <c r="E56" s="11" t="s">
        <v>157</v>
      </c>
      <c r="F56" s="11" t="s">
        <v>191</v>
      </c>
      <c r="G56" s="15" t="s">
        <v>153</v>
      </c>
      <c r="H56" s="15" t="s">
        <v>492</v>
      </c>
      <c r="I56" s="15" t="s">
        <v>193</v>
      </c>
      <c r="J56" s="15" t="s">
        <v>153</v>
      </c>
      <c r="K56" s="11" t="s">
        <v>194</v>
      </c>
      <c r="L56" s="15" t="s">
        <v>493</v>
      </c>
      <c r="M56" s="11" t="n">
        <f aca="false">COUNTIF(Taches!$B$6:$B$250,$A56)</f>
        <v>2</v>
      </c>
      <c r="N56" s="11" t="n">
        <v>2</v>
      </c>
      <c r="O56" s="20" t="s">
        <v>76</v>
      </c>
      <c r="P56" s="21" t="s">
        <v>152</v>
      </c>
      <c r="Q56" s="21" t="s">
        <v>153</v>
      </c>
      <c r="R56" s="21" t="s">
        <v>153</v>
      </c>
    </row>
    <row r="57" customFormat="false" ht="23.85" hidden="false" customHeight="false" outlineLevel="0" collapsed="false">
      <c r="A57" s="22" t="s">
        <v>494</v>
      </c>
      <c r="B57" s="10" t="s">
        <v>47</v>
      </c>
      <c r="C57" s="15" t="s">
        <v>490</v>
      </c>
      <c r="D57" s="10" t="s">
        <v>495</v>
      </c>
      <c r="E57" s="11" t="s">
        <v>496</v>
      </c>
      <c r="F57" s="11" t="s">
        <v>191</v>
      </c>
      <c r="G57" s="15" t="s">
        <v>153</v>
      </c>
      <c r="H57" s="15" t="s">
        <v>497</v>
      </c>
      <c r="I57" s="15" t="s">
        <v>193</v>
      </c>
      <c r="J57" s="15" t="s">
        <v>153</v>
      </c>
      <c r="K57" s="11" t="s">
        <v>194</v>
      </c>
      <c r="L57" s="15" t="s">
        <v>498</v>
      </c>
      <c r="M57" s="11" t="n">
        <f aca="false">COUNTIF(Taches!$B$6:$B$250,$A57)</f>
        <v>1</v>
      </c>
      <c r="N57" s="11" t="n">
        <v>3</v>
      </c>
      <c r="O57" s="20" t="s">
        <v>74</v>
      </c>
      <c r="P57" s="21" t="s">
        <v>499</v>
      </c>
      <c r="Q57" s="21" t="s">
        <v>500</v>
      </c>
      <c r="R57" s="21" t="s">
        <v>501</v>
      </c>
    </row>
    <row r="58" customFormat="false" ht="23.85" hidden="false" customHeight="false" outlineLevel="0" collapsed="false">
      <c r="A58" s="22" t="s">
        <v>502</v>
      </c>
      <c r="B58" s="10" t="s">
        <v>47</v>
      </c>
      <c r="C58" s="15" t="s">
        <v>490</v>
      </c>
      <c r="D58" s="10" t="s">
        <v>503</v>
      </c>
      <c r="E58" s="11" t="s">
        <v>246</v>
      </c>
      <c r="F58" s="11" t="s">
        <v>224</v>
      </c>
      <c r="G58" s="15" t="s">
        <v>504</v>
      </c>
      <c r="H58" s="15" t="s">
        <v>505</v>
      </c>
      <c r="I58" s="15" t="s">
        <v>201</v>
      </c>
      <c r="J58" s="15" t="s">
        <v>227</v>
      </c>
      <c r="K58" s="11" t="s">
        <v>139</v>
      </c>
      <c r="L58" s="15" t="s">
        <v>506</v>
      </c>
      <c r="M58" s="11" t="n">
        <f aca="false">COUNTIF(Taches!$B$6:$B$250,$A58)</f>
        <v>1</v>
      </c>
      <c r="N58" s="11" t="n">
        <v>2</v>
      </c>
      <c r="O58" s="20" t="s">
        <v>72</v>
      </c>
      <c r="P58" s="21" t="s">
        <v>507</v>
      </c>
      <c r="Q58" s="21" t="s">
        <v>508</v>
      </c>
      <c r="R58" s="21" t="s">
        <v>153</v>
      </c>
    </row>
    <row r="59" customFormat="false" ht="23.85" hidden="false" customHeight="false" outlineLevel="0" collapsed="false">
      <c r="A59" s="22" t="s">
        <v>509</v>
      </c>
      <c r="B59" s="10" t="s">
        <v>47</v>
      </c>
      <c r="C59" s="15" t="s">
        <v>490</v>
      </c>
      <c r="D59" s="10" t="s">
        <v>510</v>
      </c>
      <c r="E59" s="11" t="s">
        <v>511</v>
      </c>
      <c r="F59" s="11" t="s">
        <v>191</v>
      </c>
      <c r="G59" s="15" t="s">
        <v>153</v>
      </c>
      <c r="H59" s="15" t="s">
        <v>512</v>
      </c>
      <c r="I59" s="15" t="s">
        <v>513</v>
      </c>
      <c r="J59" s="15" t="s">
        <v>153</v>
      </c>
      <c r="K59" s="11" t="s">
        <v>102</v>
      </c>
      <c r="L59" s="15" t="s">
        <v>514</v>
      </c>
      <c r="M59" s="11" t="n">
        <f aca="false">COUNTIF(Taches!$B$6:$B$250,$A59)</f>
        <v>1</v>
      </c>
      <c r="N59" s="11" t="n">
        <v>2</v>
      </c>
      <c r="O59" s="20" t="s">
        <v>72</v>
      </c>
      <c r="P59" s="21" t="s">
        <v>515</v>
      </c>
      <c r="Q59" s="21" t="s">
        <v>516</v>
      </c>
      <c r="R59" s="21" t="s">
        <v>153</v>
      </c>
    </row>
    <row r="60" customFormat="false" ht="23.85" hidden="false" customHeight="false" outlineLevel="0" collapsed="false">
      <c r="A60" s="22" t="s">
        <v>517</v>
      </c>
      <c r="B60" s="10" t="s">
        <v>47</v>
      </c>
      <c r="C60" s="15" t="s">
        <v>490</v>
      </c>
      <c r="D60" s="10" t="s">
        <v>518</v>
      </c>
      <c r="E60" s="11" t="s">
        <v>153</v>
      </c>
      <c r="F60" s="11" t="s">
        <v>519</v>
      </c>
      <c r="G60" s="15" t="s">
        <v>520</v>
      </c>
      <c r="H60" s="15" t="s">
        <v>521</v>
      </c>
      <c r="I60" s="15" t="s">
        <v>522</v>
      </c>
      <c r="J60" s="15" t="s">
        <v>523</v>
      </c>
      <c r="K60" s="11" t="s">
        <v>56</v>
      </c>
      <c r="L60" s="15" t="s">
        <v>524</v>
      </c>
      <c r="M60" s="11" t="n">
        <f aca="false">COUNTIF(Taches!$B$6:$B$250,$A60)</f>
        <v>1</v>
      </c>
      <c r="N60" s="11" t="n">
        <v>2</v>
      </c>
      <c r="O60" s="20" t="s">
        <v>75</v>
      </c>
      <c r="P60" s="21" t="s">
        <v>152</v>
      </c>
      <c r="Q60" s="21" t="s">
        <v>153</v>
      </c>
      <c r="R60" s="21" t="s">
        <v>525</v>
      </c>
    </row>
    <row r="61" customFormat="false" ht="23.85" hidden="false" customHeight="false" outlineLevel="0" collapsed="false">
      <c r="A61" s="22" t="s">
        <v>526</v>
      </c>
      <c r="B61" s="10" t="s">
        <v>47</v>
      </c>
      <c r="C61" s="15" t="s">
        <v>490</v>
      </c>
      <c r="D61" s="10" t="s">
        <v>527</v>
      </c>
      <c r="E61" s="11" t="s">
        <v>137</v>
      </c>
      <c r="F61" s="11" t="s">
        <v>224</v>
      </c>
      <c r="G61" s="15" t="s">
        <v>528</v>
      </c>
      <c r="H61" s="15" t="s">
        <v>529</v>
      </c>
      <c r="I61" s="15" t="s">
        <v>193</v>
      </c>
      <c r="J61" s="15" t="s">
        <v>530</v>
      </c>
      <c r="K61" s="11" t="s">
        <v>531</v>
      </c>
      <c r="L61" s="15" t="s">
        <v>532</v>
      </c>
      <c r="M61" s="11" t="n">
        <f aca="false">COUNTIF(Taches!$B$6:$B$250,$A61)</f>
        <v>1</v>
      </c>
      <c r="N61" s="11" t="n">
        <v>2</v>
      </c>
      <c r="O61" s="20" t="s">
        <v>72</v>
      </c>
      <c r="P61" s="21" t="s">
        <v>533</v>
      </c>
      <c r="Q61" s="21" t="s">
        <v>534</v>
      </c>
      <c r="R61" s="21" t="s">
        <v>153</v>
      </c>
    </row>
    <row r="62" customFormat="false" ht="23.85" hidden="false" customHeight="false" outlineLevel="0" collapsed="false">
      <c r="A62" s="22" t="s">
        <v>535</v>
      </c>
      <c r="B62" s="10" t="s">
        <v>47</v>
      </c>
      <c r="C62" s="15" t="s">
        <v>490</v>
      </c>
      <c r="D62" s="10" t="s">
        <v>536</v>
      </c>
      <c r="E62" s="11" t="s">
        <v>246</v>
      </c>
      <c r="F62" s="11" t="s">
        <v>191</v>
      </c>
      <c r="G62" s="15" t="s">
        <v>153</v>
      </c>
      <c r="H62" s="15" t="s">
        <v>537</v>
      </c>
      <c r="I62" s="15" t="s">
        <v>193</v>
      </c>
      <c r="J62" s="15" t="s">
        <v>153</v>
      </c>
      <c r="K62" s="11" t="s">
        <v>194</v>
      </c>
      <c r="L62" s="15" t="s">
        <v>538</v>
      </c>
      <c r="M62" s="11" t="n">
        <f aca="false">COUNTIF(Taches!$B$6:$B$250,$A62)</f>
        <v>1</v>
      </c>
      <c r="N62" s="11" t="n">
        <v>3</v>
      </c>
      <c r="O62" s="20" t="s">
        <v>72</v>
      </c>
      <c r="P62" s="21" t="s">
        <v>539</v>
      </c>
      <c r="Q62" s="21" t="s">
        <v>540</v>
      </c>
      <c r="R62" s="21" t="s">
        <v>153</v>
      </c>
    </row>
    <row r="63" customFormat="false" ht="23.85" hidden="false" customHeight="false" outlineLevel="0" collapsed="false">
      <c r="A63" s="22" t="s">
        <v>541</v>
      </c>
      <c r="B63" s="10" t="s">
        <v>47</v>
      </c>
      <c r="C63" s="15" t="s">
        <v>490</v>
      </c>
      <c r="D63" s="10" t="s">
        <v>542</v>
      </c>
      <c r="E63" s="11" t="s">
        <v>109</v>
      </c>
      <c r="F63" s="11" t="s">
        <v>191</v>
      </c>
      <c r="G63" s="15" t="s">
        <v>153</v>
      </c>
      <c r="H63" s="15" t="s">
        <v>543</v>
      </c>
      <c r="I63" s="15" t="s">
        <v>201</v>
      </c>
      <c r="J63" s="15" t="s">
        <v>153</v>
      </c>
      <c r="K63" s="11" t="s">
        <v>544</v>
      </c>
      <c r="L63" s="15" t="s">
        <v>545</v>
      </c>
      <c r="M63" s="11" t="n">
        <f aca="false">COUNTIF(Taches!$B$6:$B$250,$A63)</f>
        <v>1</v>
      </c>
      <c r="N63" s="11" t="n">
        <v>3</v>
      </c>
      <c r="O63" s="20" t="s">
        <v>72</v>
      </c>
      <c r="P63" s="21" t="s">
        <v>546</v>
      </c>
      <c r="Q63" s="21" t="s">
        <v>547</v>
      </c>
      <c r="R63" s="21" t="s">
        <v>153</v>
      </c>
    </row>
    <row r="64" customFormat="false" ht="35.05" hidden="false" customHeight="false" outlineLevel="0" collapsed="false">
      <c r="A64" s="17" t="s">
        <v>548</v>
      </c>
      <c r="B64" s="18" t="s">
        <v>47</v>
      </c>
      <c r="C64" s="19" t="s">
        <v>549</v>
      </c>
      <c r="D64" s="18" t="s">
        <v>550</v>
      </c>
      <c r="E64" s="16" t="s">
        <v>551</v>
      </c>
      <c r="F64" s="17" t="s">
        <v>97</v>
      </c>
      <c r="G64" s="19" t="s">
        <v>552</v>
      </c>
      <c r="H64" s="19" t="s">
        <v>553</v>
      </c>
      <c r="I64" s="19" t="s">
        <v>554</v>
      </c>
      <c r="J64" s="19" t="s">
        <v>555</v>
      </c>
      <c r="K64" s="16" t="s">
        <v>556</v>
      </c>
      <c r="L64" s="19" t="s">
        <v>557</v>
      </c>
      <c r="M64" s="16" t="n">
        <f aca="false">COUNTIF(Taches!$B$6:$B$250,$A64)</f>
        <v>2</v>
      </c>
      <c r="N64" s="16" t="n">
        <v>1</v>
      </c>
      <c r="O64" s="20" t="s">
        <v>75</v>
      </c>
      <c r="P64" s="21" t="s">
        <v>196</v>
      </c>
      <c r="Q64" s="21" t="s">
        <v>153</v>
      </c>
      <c r="R64" s="21" t="s">
        <v>558</v>
      </c>
    </row>
    <row r="65" customFormat="false" ht="35.05" hidden="false" customHeight="false" outlineLevel="0" collapsed="false">
      <c r="A65" s="17" t="s">
        <v>559</v>
      </c>
      <c r="B65" s="18" t="s">
        <v>47</v>
      </c>
      <c r="C65" s="19" t="s">
        <v>549</v>
      </c>
      <c r="D65" s="18" t="s">
        <v>560</v>
      </c>
      <c r="E65" s="16" t="s">
        <v>96</v>
      </c>
      <c r="F65" s="17" t="s">
        <v>97</v>
      </c>
      <c r="G65" s="19" t="s">
        <v>552</v>
      </c>
      <c r="H65" s="19" t="s">
        <v>561</v>
      </c>
      <c r="I65" s="19" t="s">
        <v>562</v>
      </c>
      <c r="J65" s="19" t="s">
        <v>563</v>
      </c>
      <c r="K65" s="16" t="s">
        <v>564</v>
      </c>
      <c r="L65" s="19" t="s">
        <v>565</v>
      </c>
      <c r="M65" s="16" t="n">
        <f aca="false">COUNTIF(Taches!$B$6:$B$250,$A65)</f>
        <v>1</v>
      </c>
      <c r="N65" s="16" t="n">
        <v>1</v>
      </c>
      <c r="O65" s="20" t="s">
        <v>72</v>
      </c>
      <c r="P65" s="21" t="s">
        <v>566</v>
      </c>
      <c r="Q65" s="21" t="s">
        <v>567</v>
      </c>
      <c r="R65" s="21" t="s">
        <v>568</v>
      </c>
    </row>
    <row r="66" customFormat="false" ht="15" hidden="false" customHeight="false" outlineLevel="0" collapsed="false">
      <c r="A66" s="22" t="s">
        <v>569</v>
      </c>
      <c r="B66" s="10" t="s">
        <v>47</v>
      </c>
      <c r="C66" s="15" t="s">
        <v>549</v>
      </c>
      <c r="D66" s="10" t="s">
        <v>570</v>
      </c>
      <c r="E66" s="11" t="s">
        <v>153</v>
      </c>
      <c r="F66" s="11" t="s">
        <v>191</v>
      </c>
      <c r="G66" s="15" t="s">
        <v>153</v>
      </c>
      <c r="H66" s="15" t="s">
        <v>571</v>
      </c>
      <c r="I66" s="15" t="s">
        <v>193</v>
      </c>
      <c r="J66" s="15" t="s">
        <v>153</v>
      </c>
      <c r="K66" s="11" t="s">
        <v>194</v>
      </c>
      <c r="L66" s="15" t="s">
        <v>572</v>
      </c>
      <c r="M66" s="11" t="n">
        <f aca="false">COUNTIF(Taches!$B$6:$B$250,$A66)</f>
        <v>1</v>
      </c>
      <c r="N66" s="11" t="n">
        <v>2</v>
      </c>
      <c r="O66" s="20" t="s">
        <v>76</v>
      </c>
      <c r="P66" s="21" t="s">
        <v>152</v>
      </c>
      <c r="Q66" s="21" t="s">
        <v>153</v>
      </c>
      <c r="R66" s="21" t="s">
        <v>153</v>
      </c>
    </row>
    <row r="67" customFormat="false" ht="23.85" hidden="false" customHeight="false" outlineLevel="0" collapsed="false">
      <c r="A67" s="22" t="s">
        <v>573</v>
      </c>
      <c r="B67" s="10" t="s">
        <v>47</v>
      </c>
      <c r="C67" s="15" t="s">
        <v>549</v>
      </c>
      <c r="D67" s="10" t="s">
        <v>574</v>
      </c>
      <c r="E67" s="11" t="s">
        <v>153</v>
      </c>
      <c r="F67" s="11" t="s">
        <v>191</v>
      </c>
      <c r="G67" s="15" t="s">
        <v>153</v>
      </c>
      <c r="H67" s="15" t="s">
        <v>575</v>
      </c>
      <c r="I67" s="15" t="s">
        <v>193</v>
      </c>
      <c r="J67" s="15" t="s">
        <v>153</v>
      </c>
      <c r="K67" s="11" t="s">
        <v>194</v>
      </c>
      <c r="L67" s="15" t="s">
        <v>576</v>
      </c>
      <c r="M67" s="11" t="n">
        <f aca="false">COUNTIF(Taches!$B$6:$B$250,$A67)</f>
        <v>1</v>
      </c>
      <c r="N67" s="11" t="n">
        <v>2</v>
      </c>
      <c r="O67" s="20" t="s">
        <v>76</v>
      </c>
      <c r="P67" s="21" t="s">
        <v>152</v>
      </c>
      <c r="Q67" s="21" t="s">
        <v>153</v>
      </c>
      <c r="R67" s="21" t="s">
        <v>153</v>
      </c>
    </row>
    <row r="68" customFormat="false" ht="15" hidden="false" customHeight="false" outlineLevel="0" collapsed="false">
      <c r="A68" s="22" t="s">
        <v>577</v>
      </c>
      <c r="B68" s="10" t="s">
        <v>47</v>
      </c>
      <c r="C68" s="15" t="s">
        <v>549</v>
      </c>
      <c r="D68" s="10" t="s">
        <v>578</v>
      </c>
      <c r="E68" s="11" t="s">
        <v>579</v>
      </c>
      <c r="F68" s="11" t="s">
        <v>191</v>
      </c>
      <c r="G68" s="15" t="s">
        <v>153</v>
      </c>
      <c r="H68" s="15" t="s">
        <v>580</v>
      </c>
      <c r="I68" s="15" t="s">
        <v>201</v>
      </c>
      <c r="J68" s="15" t="s">
        <v>581</v>
      </c>
      <c r="K68" s="11" t="s">
        <v>312</v>
      </c>
      <c r="L68" s="15" t="s">
        <v>582</v>
      </c>
      <c r="M68" s="11" t="n">
        <f aca="false">COUNTIF(Taches!$B$6:$B$250,$A68)</f>
        <v>1</v>
      </c>
      <c r="N68" s="11" t="n">
        <v>2</v>
      </c>
      <c r="O68" s="20" t="s">
        <v>76</v>
      </c>
      <c r="P68" s="21" t="s">
        <v>152</v>
      </c>
      <c r="Q68" s="21" t="s">
        <v>153</v>
      </c>
      <c r="R68" s="21" t="s">
        <v>153</v>
      </c>
    </row>
    <row r="69" customFormat="false" ht="35.05" hidden="false" customHeight="false" outlineLevel="0" collapsed="false">
      <c r="A69" s="22" t="s">
        <v>583</v>
      </c>
      <c r="B69" s="10" t="s">
        <v>48</v>
      </c>
      <c r="C69" s="15" t="s">
        <v>48</v>
      </c>
      <c r="D69" s="10" t="s">
        <v>584</v>
      </c>
      <c r="E69" s="11" t="s">
        <v>223</v>
      </c>
      <c r="F69" s="11" t="s">
        <v>191</v>
      </c>
      <c r="G69" s="15" t="s">
        <v>153</v>
      </c>
      <c r="H69" s="15" t="s">
        <v>585</v>
      </c>
      <c r="I69" s="15" t="s">
        <v>210</v>
      </c>
      <c r="J69" s="15" t="s">
        <v>227</v>
      </c>
      <c r="K69" s="11" t="s">
        <v>312</v>
      </c>
      <c r="L69" s="15" t="s">
        <v>586</v>
      </c>
      <c r="M69" s="11" t="n">
        <f aca="false">COUNTIF(Taches!$B$6:$B$250,$A69)</f>
        <v>2</v>
      </c>
      <c r="N69" s="11" t="n">
        <v>1</v>
      </c>
      <c r="O69" s="20" t="s">
        <v>75</v>
      </c>
      <c r="P69" s="21" t="s">
        <v>587</v>
      </c>
      <c r="Q69" s="21" t="s">
        <v>588</v>
      </c>
      <c r="R69" s="21" t="s">
        <v>589</v>
      </c>
    </row>
    <row r="70" customFormat="false" ht="23.85" hidden="false" customHeight="false" outlineLevel="0" collapsed="false">
      <c r="A70" s="22" t="s">
        <v>590</v>
      </c>
      <c r="B70" s="10" t="s">
        <v>48</v>
      </c>
      <c r="C70" s="15" t="s">
        <v>48</v>
      </c>
      <c r="D70" s="10" t="s">
        <v>591</v>
      </c>
      <c r="E70" s="11" t="s">
        <v>246</v>
      </c>
      <c r="F70" s="11" t="s">
        <v>191</v>
      </c>
      <c r="G70" s="15" t="s">
        <v>153</v>
      </c>
      <c r="H70" s="15" t="s">
        <v>592</v>
      </c>
      <c r="I70" s="15" t="s">
        <v>193</v>
      </c>
      <c r="J70" s="15" t="s">
        <v>153</v>
      </c>
      <c r="K70" s="11" t="s">
        <v>194</v>
      </c>
      <c r="L70" s="15" t="s">
        <v>593</v>
      </c>
      <c r="M70" s="11" t="n">
        <f aca="false">COUNTIF(Taches!$B$6:$B$250,$A70)</f>
        <v>1</v>
      </c>
      <c r="N70" s="11" t="n">
        <v>1</v>
      </c>
      <c r="O70" s="20" t="s">
        <v>72</v>
      </c>
      <c r="P70" s="21" t="s">
        <v>594</v>
      </c>
      <c r="Q70" s="21" t="s">
        <v>415</v>
      </c>
      <c r="R70" s="21" t="s">
        <v>595</v>
      </c>
    </row>
    <row r="71" customFormat="false" ht="23.85" hidden="false" customHeight="false" outlineLevel="0" collapsed="false">
      <c r="A71" s="22" t="s">
        <v>596</v>
      </c>
      <c r="B71" s="10" t="s">
        <v>48</v>
      </c>
      <c r="C71" s="15" t="s">
        <v>48</v>
      </c>
      <c r="D71" s="10" t="s">
        <v>597</v>
      </c>
      <c r="E71" s="11" t="s">
        <v>246</v>
      </c>
      <c r="F71" s="11" t="s">
        <v>191</v>
      </c>
      <c r="G71" s="15" t="s">
        <v>153</v>
      </c>
      <c r="H71" s="15" t="s">
        <v>598</v>
      </c>
      <c r="I71" s="15" t="s">
        <v>201</v>
      </c>
      <c r="J71" s="15" t="s">
        <v>599</v>
      </c>
      <c r="K71" s="11" t="s">
        <v>349</v>
      </c>
      <c r="L71" s="15" t="s">
        <v>600</v>
      </c>
      <c r="M71" s="11" t="n">
        <f aca="false">COUNTIF(Taches!$B$6:$B$250,$A71)</f>
        <v>1</v>
      </c>
      <c r="N71" s="11" t="n">
        <v>2</v>
      </c>
      <c r="O71" s="20" t="s">
        <v>72</v>
      </c>
      <c r="P71" s="21" t="s">
        <v>601</v>
      </c>
      <c r="Q71" s="21" t="s">
        <v>602</v>
      </c>
      <c r="R71" s="21" t="s">
        <v>153</v>
      </c>
    </row>
    <row r="72" customFormat="false" ht="23.85" hidden="false" customHeight="false" outlineLevel="0" collapsed="false">
      <c r="A72" s="22" t="s">
        <v>603</v>
      </c>
      <c r="B72" s="10" t="s">
        <v>48</v>
      </c>
      <c r="C72" s="15" t="s">
        <v>48</v>
      </c>
      <c r="D72" s="10" t="s">
        <v>604</v>
      </c>
      <c r="E72" s="11" t="s">
        <v>246</v>
      </c>
      <c r="F72" s="11" t="s">
        <v>191</v>
      </c>
      <c r="G72" s="15" t="s">
        <v>153</v>
      </c>
      <c r="H72" s="15" t="s">
        <v>605</v>
      </c>
      <c r="I72" s="15" t="s">
        <v>606</v>
      </c>
      <c r="J72" s="15" t="s">
        <v>274</v>
      </c>
      <c r="K72" s="11" t="s">
        <v>130</v>
      </c>
      <c r="L72" s="15" t="s">
        <v>607</v>
      </c>
      <c r="M72" s="11" t="n">
        <f aca="false">COUNTIF(Taches!$B$6:$B$250,$A72)</f>
        <v>1</v>
      </c>
      <c r="N72" s="11" t="n">
        <v>2</v>
      </c>
      <c r="O72" s="20" t="s">
        <v>72</v>
      </c>
      <c r="P72" s="21" t="s">
        <v>608</v>
      </c>
      <c r="Q72" s="21" t="s">
        <v>609</v>
      </c>
      <c r="R72" s="21" t="s">
        <v>153</v>
      </c>
    </row>
    <row r="73" customFormat="false" ht="35.05" hidden="false" customHeight="false" outlineLevel="0" collapsed="false">
      <c r="A73" s="22" t="s">
        <v>610</v>
      </c>
      <c r="B73" s="10" t="s">
        <v>48</v>
      </c>
      <c r="C73" s="15" t="s">
        <v>48</v>
      </c>
      <c r="D73" s="10" t="s">
        <v>611</v>
      </c>
      <c r="E73" s="11" t="s">
        <v>223</v>
      </c>
      <c r="F73" s="11" t="s">
        <v>224</v>
      </c>
      <c r="G73" s="15" t="s">
        <v>612</v>
      </c>
      <c r="H73" s="15" t="s">
        <v>613</v>
      </c>
      <c r="I73" s="15" t="s">
        <v>614</v>
      </c>
      <c r="J73" s="15" t="s">
        <v>615</v>
      </c>
      <c r="K73" s="11" t="s">
        <v>616</v>
      </c>
      <c r="L73" s="15" t="s">
        <v>617</v>
      </c>
      <c r="M73" s="11" t="n">
        <f aca="false">COUNTIF(Taches!$B$6:$B$250,$A73)</f>
        <v>2</v>
      </c>
      <c r="N73" s="11" t="n">
        <v>1</v>
      </c>
      <c r="O73" s="20" t="s">
        <v>72</v>
      </c>
      <c r="P73" s="21" t="s">
        <v>618</v>
      </c>
      <c r="Q73" s="21" t="s">
        <v>619</v>
      </c>
      <c r="R73" s="21" t="s">
        <v>153</v>
      </c>
    </row>
    <row r="74" customFormat="false" ht="23.85" hidden="false" customHeight="false" outlineLevel="0" collapsed="false">
      <c r="A74" s="22" t="s">
        <v>620</v>
      </c>
      <c r="B74" s="10" t="s">
        <v>48</v>
      </c>
      <c r="C74" s="15" t="s">
        <v>48</v>
      </c>
      <c r="D74" s="10" t="s">
        <v>621</v>
      </c>
      <c r="E74" s="11" t="s">
        <v>153</v>
      </c>
      <c r="F74" s="11" t="s">
        <v>622</v>
      </c>
      <c r="G74" s="15" t="s">
        <v>623</v>
      </c>
      <c r="H74" s="15" t="s">
        <v>624</v>
      </c>
      <c r="I74" s="15" t="s">
        <v>625</v>
      </c>
      <c r="J74" s="15" t="s">
        <v>626</v>
      </c>
      <c r="K74" s="11" t="s">
        <v>627</v>
      </c>
      <c r="L74" s="15" t="s">
        <v>628</v>
      </c>
      <c r="M74" s="11" t="n">
        <f aca="false">COUNTIF(Taches!$B$6:$B$250,$A74)</f>
        <v>1</v>
      </c>
      <c r="N74" s="11" t="n">
        <v>1</v>
      </c>
      <c r="O74" s="20" t="s">
        <v>75</v>
      </c>
      <c r="P74" s="21" t="s">
        <v>152</v>
      </c>
      <c r="Q74" s="21" t="s">
        <v>153</v>
      </c>
      <c r="R74" s="21" t="s">
        <v>629</v>
      </c>
    </row>
    <row r="75" customFormat="false" ht="23.85" hidden="false" customHeight="false" outlineLevel="0" collapsed="false">
      <c r="A75" s="22" t="s">
        <v>630</v>
      </c>
      <c r="B75" s="10" t="s">
        <v>48</v>
      </c>
      <c r="C75" s="15" t="s">
        <v>48</v>
      </c>
      <c r="D75" s="10" t="s">
        <v>631</v>
      </c>
      <c r="E75" s="11" t="s">
        <v>96</v>
      </c>
      <c r="F75" s="11" t="s">
        <v>191</v>
      </c>
      <c r="G75" s="15" t="s">
        <v>153</v>
      </c>
      <c r="H75" s="15" t="s">
        <v>632</v>
      </c>
      <c r="I75" s="15" t="s">
        <v>193</v>
      </c>
      <c r="J75" s="15" t="s">
        <v>153</v>
      </c>
      <c r="K75" s="11" t="s">
        <v>531</v>
      </c>
      <c r="L75" s="15" t="s">
        <v>633</v>
      </c>
      <c r="M75" s="11" t="n">
        <f aca="false">COUNTIF(Taches!$B$6:$B$250,$A75)</f>
        <v>1</v>
      </c>
      <c r="N75" s="11" t="n">
        <v>3</v>
      </c>
      <c r="O75" s="20" t="s">
        <v>72</v>
      </c>
      <c r="P75" s="21" t="s">
        <v>634</v>
      </c>
      <c r="Q75" s="21" t="s">
        <v>635</v>
      </c>
      <c r="R75" s="21" t="s">
        <v>153</v>
      </c>
    </row>
    <row r="76" customFormat="false" ht="23.85" hidden="false" customHeight="false" outlineLevel="0" collapsed="false">
      <c r="A76" s="17" t="s">
        <v>636</v>
      </c>
      <c r="B76" s="18" t="s">
        <v>47</v>
      </c>
      <c r="C76" s="19" t="s">
        <v>637</v>
      </c>
      <c r="D76" s="18" t="s">
        <v>638</v>
      </c>
      <c r="E76" s="16" t="s">
        <v>639</v>
      </c>
      <c r="F76" s="17" t="s">
        <v>97</v>
      </c>
      <c r="G76" s="19" t="s">
        <v>640</v>
      </c>
      <c r="H76" s="19" t="s">
        <v>641</v>
      </c>
      <c r="I76" s="19" t="s">
        <v>193</v>
      </c>
      <c r="J76" s="19" t="s">
        <v>642</v>
      </c>
      <c r="K76" s="16" t="s">
        <v>337</v>
      </c>
      <c r="L76" s="19" t="s">
        <v>643</v>
      </c>
      <c r="M76" s="16" t="n">
        <f aca="false">COUNTIF(Taches!$B$6:$B$250,$A76)</f>
        <v>2</v>
      </c>
      <c r="N76" s="16" t="n">
        <v>1</v>
      </c>
      <c r="O76" s="20" t="s">
        <v>73</v>
      </c>
      <c r="P76" s="21" t="s">
        <v>644</v>
      </c>
      <c r="Q76" s="21" t="s">
        <v>645</v>
      </c>
      <c r="R76" s="21" t="s">
        <v>646</v>
      </c>
    </row>
    <row r="77" customFormat="false" ht="23.85" hidden="false" customHeight="false" outlineLevel="0" collapsed="false">
      <c r="A77" s="22" t="s">
        <v>647</v>
      </c>
      <c r="B77" s="10" t="s">
        <v>47</v>
      </c>
      <c r="C77" s="15" t="s">
        <v>637</v>
      </c>
      <c r="D77" s="10" t="s">
        <v>648</v>
      </c>
      <c r="E77" s="11" t="s">
        <v>470</v>
      </c>
      <c r="F77" s="11" t="s">
        <v>649</v>
      </c>
      <c r="G77" s="15" t="s">
        <v>153</v>
      </c>
      <c r="H77" s="15" t="s">
        <v>650</v>
      </c>
      <c r="I77" s="15" t="s">
        <v>193</v>
      </c>
      <c r="J77" s="15" t="s">
        <v>153</v>
      </c>
      <c r="K77" s="11" t="s">
        <v>651</v>
      </c>
      <c r="L77" s="15" t="s">
        <v>652</v>
      </c>
      <c r="M77" s="11" t="n">
        <f aca="false">COUNTIF(Taches!$B$6:$B$250,$A77)</f>
        <v>1</v>
      </c>
      <c r="N77" s="11" t="n">
        <v>1</v>
      </c>
      <c r="O77" s="20" t="s">
        <v>73</v>
      </c>
      <c r="P77" s="21" t="s">
        <v>644</v>
      </c>
      <c r="Q77" s="21" t="s">
        <v>653</v>
      </c>
      <c r="R77" s="21" t="s">
        <v>654</v>
      </c>
    </row>
    <row r="78" customFormat="false" ht="23.85" hidden="false" customHeight="false" outlineLevel="0" collapsed="false">
      <c r="A78" s="22" t="s">
        <v>655</v>
      </c>
      <c r="B78" s="10" t="s">
        <v>47</v>
      </c>
      <c r="C78" s="15" t="s">
        <v>637</v>
      </c>
      <c r="D78" s="10" t="s">
        <v>656</v>
      </c>
      <c r="E78" s="11" t="s">
        <v>657</v>
      </c>
      <c r="F78" s="11" t="s">
        <v>224</v>
      </c>
      <c r="G78" s="15" t="s">
        <v>658</v>
      </c>
      <c r="H78" s="15" t="s">
        <v>659</v>
      </c>
      <c r="I78" s="15" t="s">
        <v>660</v>
      </c>
      <c r="J78" s="15" t="s">
        <v>661</v>
      </c>
      <c r="K78" s="11" t="s">
        <v>662</v>
      </c>
      <c r="L78" s="15" t="s">
        <v>663</v>
      </c>
      <c r="M78" s="11" t="n">
        <f aca="false">COUNTIF(Taches!$B$6:$B$250,$A78)</f>
        <v>1</v>
      </c>
      <c r="N78" s="11" t="n">
        <v>3</v>
      </c>
      <c r="O78" s="20" t="s">
        <v>73</v>
      </c>
      <c r="P78" s="21" t="s">
        <v>664</v>
      </c>
      <c r="Q78" s="21" t="s">
        <v>665</v>
      </c>
      <c r="R78" s="21" t="s">
        <v>153</v>
      </c>
    </row>
    <row r="79" customFormat="false" ht="23.85" hidden="false" customHeight="false" outlineLevel="0" collapsed="false">
      <c r="A79" s="22" t="s">
        <v>666</v>
      </c>
      <c r="B79" s="10" t="s">
        <v>47</v>
      </c>
      <c r="C79" s="15" t="s">
        <v>637</v>
      </c>
      <c r="D79" s="10" t="s">
        <v>667</v>
      </c>
      <c r="E79" s="11" t="s">
        <v>511</v>
      </c>
      <c r="F79" s="11" t="s">
        <v>191</v>
      </c>
      <c r="G79" s="15" t="s">
        <v>153</v>
      </c>
      <c r="H79" s="15" t="s">
        <v>668</v>
      </c>
      <c r="I79" s="15" t="s">
        <v>193</v>
      </c>
      <c r="J79" s="15" t="s">
        <v>153</v>
      </c>
      <c r="K79" s="11" t="s">
        <v>386</v>
      </c>
      <c r="L79" s="15" t="s">
        <v>669</v>
      </c>
      <c r="M79" s="11" t="n">
        <f aca="false">COUNTIF(Taches!$B$6:$B$250,$A79)</f>
        <v>1</v>
      </c>
      <c r="N79" s="11" t="n">
        <v>2</v>
      </c>
      <c r="O79" s="20" t="s">
        <v>72</v>
      </c>
      <c r="P79" s="21" t="s">
        <v>670</v>
      </c>
      <c r="Q79" s="21" t="s">
        <v>488</v>
      </c>
      <c r="R79" s="21" t="s">
        <v>671</v>
      </c>
    </row>
    <row r="80" customFormat="false" ht="23.85" hidden="false" customHeight="false" outlineLevel="0" collapsed="false">
      <c r="A80" s="22" t="s">
        <v>672</v>
      </c>
      <c r="B80" s="10" t="s">
        <v>47</v>
      </c>
      <c r="C80" s="15" t="s">
        <v>637</v>
      </c>
      <c r="D80" s="10" t="s">
        <v>673</v>
      </c>
      <c r="E80" s="11" t="s">
        <v>483</v>
      </c>
      <c r="F80" s="11" t="s">
        <v>224</v>
      </c>
      <c r="G80" s="15" t="s">
        <v>674</v>
      </c>
      <c r="H80" s="15" t="s">
        <v>675</v>
      </c>
      <c r="I80" s="15" t="s">
        <v>193</v>
      </c>
      <c r="J80" s="15" t="s">
        <v>153</v>
      </c>
      <c r="K80" s="11" t="s">
        <v>194</v>
      </c>
      <c r="L80" s="15" t="s">
        <v>676</v>
      </c>
      <c r="M80" s="11" t="n">
        <f aca="false">COUNTIF(Taches!$B$6:$B$250,$A80)</f>
        <v>1</v>
      </c>
      <c r="N80" s="11" t="n">
        <v>3</v>
      </c>
      <c r="O80" s="20" t="s">
        <v>72</v>
      </c>
      <c r="P80" s="21" t="s">
        <v>677</v>
      </c>
      <c r="Q80" s="21" t="s">
        <v>381</v>
      </c>
      <c r="R80" s="21" t="s">
        <v>671</v>
      </c>
    </row>
    <row r="81" customFormat="false" ht="23.85" hidden="false" customHeight="false" outlineLevel="0" collapsed="false">
      <c r="A81" s="22" t="s">
        <v>678</v>
      </c>
      <c r="B81" s="10" t="s">
        <v>47</v>
      </c>
      <c r="C81" s="15" t="s">
        <v>637</v>
      </c>
      <c r="D81" s="10" t="s">
        <v>679</v>
      </c>
      <c r="E81" s="11" t="s">
        <v>246</v>
      </c>
      <c r="F81" s="11" t="s">
        <v>191</v>
      </c>
      <c r="G81" s="15" t="s">
        <v>153</v>
      </c>
      <c r="H81" s="15" t="s">
        <v>680</v>
      </c>
      <c r="I81" s="15" t="s">
        <v>193</v>
      </c>
      <c r="J81" s="15" t="s">
        <v>153</v>
      </c>
      <c r="K81" s="11" t="s">
        <v>194</v>
      </c>
      <c r="L81" s="15" t="s">
        <v>681</v>
      </c>
      <c r="M81" s="11" t="n">
        <f aca="false">COUNTIF(Taches!$B$6:$B$250,$A81)</f>
        <v>1</v>
      </c>
      <c r="N81" s="11" t="n">
        <v>3</v>
      </c>
      <c r="O81" s="20" t="s">
        <v>72</v>
      </c>
      <c r="P81" s="21" t="s">
        <v>682</v>
      </c>
      <c r="Q81" s="21" t="s">
        <v>488</v>
      </c>
      <c r="R81" s="21" t="s">
        <v>153</v>
      </c>
    </row>
    <row r="82" customFormat="false" ht="35.05" hidden="false" customHeight="false" outlineLevel="0" collapsed="false">
      <c r="A82" s="17" t="s">
        <v>683</v>
      </c>
      <c r="B82" s="18" t="s">
        <v>47</v>
      </c>
      <c r="C82" s="19" t="s">
        <v>637</v>
      </c>
      <c r="D82" s="18" t="s">
        <v>684</v>
      </c>
      <c r="E82" s="16" t="s">
        <v>109</v>
      </c>
      <c r="F82" s="17" t="s">
        <v>97</v>
      </c>
      <c r="G82" s="19" t="s">
        <v>685</v>
      </c>
      <c r="H82" s="19" t="s">
        <v>686</v>
      </c>
      <c r="I82" s="19" t="s">
        <v>687</v>
      </c>
      <c r="J82" s="19" t="s">
        <v>688</v>
      </c>
      <c r="K82" s="16" t="s">
        <v>689</v>
      </c>
      <c r="L82" s="19" t="s">
        <v>690</v>
      </c>
      <c r="M82" s="16" t="n">
        <f aca="false">COUNTIF(Taches!$B$6:$B$250,$A82)</f>
        <v>2</v>
      </c>
      <c r="N82" s="16" t="n">
        <v>2</v>
      </c>
      <c r="O82" s="20" t="s">
        <v>72</v>
      </c>
      <c r="P82" s="21" t="s">
        <v>691</v>
      </c>
      <c r="Q82" s="21" t="s">
        <v>692</v>
      </c>
      <c r="R82" s="21" t="s">
        <v>693</v>
      </c>
    </row>
    <row r="83" customFormat="false" ht="23.85" hidden="false" customHeight="false" outlineLevel="0" collapsed="false">
      <c r="A83" s="22" t="s">
        <v>694</v>
      </c>
      <c r="B83" s="10" t="s">
        <v>47</v>
      </c>
      <c r="C83" s="15" t="s">
        <v>695</v>
      </c>
      <c r="D83" s="10" t="s">
        <v>696</v>
      </c>
      <c r="E83" s="11" t="s">
        <v>96</v>
      </c>
      <c r="F83" s="11" t="s">
        <v>697</v>
      </c>
      <c r="G83" s="15" t="s">
        <v>698</v>
      </c>
      <c r="H83" s="15" t="s">
        <v>699</v>
      </c>
      <c r="I83" s="15" t="s">
        <v>700</v>
      </c>
      <c r="J83" s="15" t="s">
        <v>701</v>
      </c>
      <c r="K83" s="11" t="s">
        <v>702</v>
      </c>
      <c r="L83" s="15" t="s">
        <v>703</v>
      </c>
      <c r="M83" s="11" t="n">
        <f aca="false">COUNTIF(Taches!$B$6:$B$250,$A83)</f>
        <v>2</v>
      </c>
      <c r="N83" s="11" t="n">
        <v>2</v>
      </c>
      <c r="O83" s="20" t="s">
        <v>72</v>
      </c>
      <c r="P83" s="21" t="s">
        <v>704</v>
      </c>
      <c r="Q83" s="21" t="s">
        <v>705</v>
      </c>
      <c r="R83" s="21" t="s">
        <v>153</v>
      </c>
    </row>
    <row r="84" customFormat="false" ht="23.85" hidden="false" customHeight="false" outlineLevel="0" collapsed="false">
      <c r="A84" s="22" t="s">
        <v>706</v>
      </c>
      <c r="B84" s="10" t="s">
        <v>47</v>
      </c>
      <c r="C84" s="15" t="s">
        <v>695</v>
      </c>
      <c r="D84" s="10" t="s">
        <v>707</v>
      </c>
      <c r="E84" s="11" t="s">
        <v>96</v>
      </c>
      <c r="F84" s="11" t="s">
        <v>697</v>
      </c>
      <c r="G84" s="15" t="s">
        <v>708</v>
      </c>
      <c r="H84" s="15" t="s">
        <v>709</v>
      </c>
      <c r="I84" s="15" t="s">
        <v>710</v>
      </c>
      <c r="J84" s="15" t="s">
        <v>153</v>
      </c>
      <c r="K84" s="11" t="s">
        <v>702</v>
      </c>
      <c r="L84" s="15" t="s">
        <v>711</v>
      </c>
      <c r="M84" s="11" t="n">
        <f aca="false">COUNTIF(Taches!$B$6:$B$250,$A84)</f>
        <v>1</v>
      </c>
      <c r="N84" s="11" t="n">
        <v>2</v>
      </c>
      <c r="O84" s="20" t="s">
        <v>72</v>
      </c>
      <c r="P84" s="21" t="s">
        <v>712</v>
      </c>
      <c r="Q84" s="21" t="s">
        <v>381</v>
      </c>
      <c r="R84" s="21" t="s">
        <v>153</v>
      </c>
    </row>
    <row r="85" customFormat="false" ht="23.85" hidden="false" customHeight="false" outlineLevel="0" collapsed="false">
      <c r="A85" s="22" t="s">
        <v>713</v>
      </c>
      <c r="B85" s="10" t="s">
        <v>47</v>
      </c>
      <c r="C85" s="15" t="s">
        <v>695</v>
      </c>
      <c r="D85" s="10" t="s">
        <v>714</v>
      </c>
      <c r="E85" s="11" t="s">
        <v>715</v>
      </c>
      <c r="F85" s="11" t="s">
        <v>191</v>
      </c>
      <c r="G85" s="15" t="s">
        <v>153</v>
      </c>
      <c r="H85" s="15" t="s">
        <v>716</v>
      </c>
      <c r="I85" s="15" t="s">
        <v>193</v>
      </c>
      <c r="J85" s="15" t="s">
        <v>153</v>
      </c>
      <c r="K85" s="11" t="s">
        <v>194</v>
      </c>
      <c r="L85" s="15" t="s">
        <v>717</v>
      </c>
      <c r="M85" s="11" t="n">
        <f aca="false">COUNTIF(Taches!$B$6:$B$250,$A85)</f>
        <v>1</v>
      </c>
      <c r="N85" s="11" t="n">
        <v>2</v>
      </c>
      <c r="O85" s="20" t="s">
        <v>75</v>
      </c>
      <c r="P85" s="21" t="s">
        <v>718</v>
      </c>
      <c r="Q85" s="21" t="s">
        <v>719</v>
      </c>
      <c r="R85" s="21" t="s">
        <v>720</v>
      </c>
    </row>
    <row r="86" customFormat="false" ht="23.85" hidden="false" customHeight="false" outlineLevel="0" collapsed="false">
      <c r="A86" s="22" t="s">
        <v>721</v>
      </c>
      <c r="B86" s="10" t="s">
        <v>47</v>
      </c>
      <c r="C86" s="15" t="s">
        <v>695</v>
      </c>
      <c r="D86" s="10" t="s">
        <v>722</v>
      </c>
      <c r="E86" s="11" t="s">
        <v>190</v>
      </c>
      <c r="F86" s="11" t="s">
        <v>191</v>
      </c>
      <c r="G86" s="15" t="s">
        <v>153</v>
      </c>
      <c r="H86" s="15" t="s">
        <v>723</v>
      </c>
      <c r="I86" s="15" t="s">
        <v>193</v>
      </c>
      <c r="J86" s="15" t="s">
        <v>153</v>
      </c>
      <c r="K86" s="11" t="s">
        <v>194</v>
      </c>
      <c r="L86" s="15" t="s">
        <v>724</v>
      </c>
      <c r="M86" s="11" t="n">
        <f aca="false">COUNTIF(Taches!$B$6:$B$250,$A86)</f>
        <v>1</v>
      </c>
      <c r="N86" s="11" t="n">
        <v>2</v>
      </c>
      <c r="O86" s="20" t="s">
        <v>72</v>
      </c>
      <c r="P86" s="21" t="s">
        <v>725</v>
      </c>
      <c r="Q86" s="21" t="s">
        <v>726</v>
      </c>
      <c r="R86" s="21" t="s">
        <v>153</v>
      </c>
    </row>
    <row r="87" customFormat="false" ht="23.85" hidden="false" customHeight="false" outlineLevel="0" collapsed="false">
      <c r="A87" s="22" t="s">
        <v>727</v>
      </c>
      <c r="B87" s="10" t="s">
        <v>47</v>
      </c>
      <c r="C87" s="15" t="s">
        <v>695</v>
      </c>
      <c r="D87" s="10" t="s">
        <v>728</v>
      </c>
      <c r="E87" s="11" t="s">
        <v>246</v>
      </c>
      <c r="F87" s="11" t="s">
        <v>191</v>
      </c>
      <c r="G87" s="15" t="s">
        <v>153</v>
      </c>
      <c r="H87" s="15" t="s">
        <v>729</v>
      </c>
      <c r="I87" s="15" t="s">
        <v>193</v>
      </c>
      <c r="J87" s="15" t="s">
        <v>153</v>
      </c>
      <c r="K87" s="11" t="s">
        <v>730</v>
      </c>
      <c r="L87" s="15" t="s">
        <v>731</v>
      </c>
      <c r="M87" s="11" t="n">
        <f aca="false">COUNTIF(Taches!$B$6:$B$250,$A87)</f>
        <v>1</v>
      </c>
      <c r="N87" s="11" t="n">
        <v>3</v>
      </c>
      <c r="O87" s="20" t="s">
        <v>72</v>
      </c>
      <c r="P87" s="21" t="s">
        <v>732</v>
      </c>
      <c r="Q87" s="21" t="s">
        <v>733</v>
      </c>
      <c r="R87" s="21" t="s">
        <v>153</v>
      </c>
    </row>
    <row r="88" customFormat="false" ht="35.05" hidden="false" customHeight="false" outlineLevel="0" collapsed="false">
      <c r="A88" s="22" t="s">
        <v>734</v>
      </c>
      <c r="B88" s="10" t="s">
        <v>46</v>
      </c>
      <c r="C88" s="15" t="s">
        <v>735</v>
      </c>
      <c r="D88" s="10" t="s">
        <v>736</v>
      </c>
      <c r="E88" s="11" t="s">
        <v>137</v>
      </c>
      <c r="F88" s="11" t="s">
        <v>737</v>
      </c>
      <c r="G88" s="15" t="s">
        <v>738</v>
      </c>
      <c r="H88" s="15" t="s">
        <v>739</v>
      </c>
      <c r="I88" s="15" t="s">
        <v>193</v>
      </c>
      <c r="J88" s="15" t="s">
        <v>740</v>
      </c>
      <c r="K88" s="11" t="s">
        <v>741</v>
      </c>
      <c r="L88" s="15" t="s">
        <v>742</v>
      </c>
      <c r="M88" s="11" t="n">
        <f aca="false">COUNTIF(Taches!$B$6:$B$250,$A88)</f>
        <v>1</v>
      </c>
      <c r="N88" s="11" t="n">
        <v>1</v>
      </c>
      <c r="O88" s="20" t="s">
        <v>75</v>
      </c>
      <c r="P88" s="21" t="s">
        <v>152</v>
      </c>
      <c r="Q88" s="21" t="s">
        <v>153</v>
      </c>
      <c r="R88" s="21" t="s">
        <v>743</v>
      </c>
    </row>
    <row r="89" customFormat="false" ht="23.85" hidden="false" customHeight="false" outlineLevel="0" collapsed="false">
      <c r="A89" s="22" t="s">
        <v>744</v>
      </c>
      <c r="B89" s="10" t="s">
        <v>46</v>
      </c>
      <c r="C89" s="15" t="s">
        <v>735</v>
      </c>
      <c r="D89" s="10" t="s">
        <v>745</v>
      </c>
      <c r="E89" s="11" t="s">
        <v>246</v>
      </c>
      <c r="F89" s="11" t="s">
        <v>191</v>
      </c>
      <c r="G89" s="15" t="s">
        <v>153</v>
      </c>
      <c r="H89" s="15" t="s">
        <v>746</v>
      </c>
      <c r="I89" s="15" t="s">
        <v>193</v>
      </c>
      <c r="J89" s="15" t="s">
        <v>153</v>
      </c>
      <c r="K89" s="11" t="s">
        <v>747</v>
      </c>
      <c r="L89" s="15" t="s">
        <v>748</v>
      </c>
      <c r="M89" s="11" t="n">
        <f aca="false">COUNTIF(Taches!$B$6:$B$250,$A89)</f>
        <v>2</v>
      </c>
      <c r="N89" s="11" t="n">
        <v>1</v>
      </c>
      <c r="O89" s="20" t="s">
        <v>72</v>
      </c>
      <c r="P89" s="21" t="s">
        <v>749</v>
      </c>
      <c r="Q89" s="21" t="s">
        <v>750</v>
      </c>
      <c r="R89" s="21" t="s">
        <v>751</v>
      </c>
    </row>
    <row r="90" customFormat="false" ht="23.85" hidden="false" customHeight="false" outlineLevel="0" collapsed="false">
      <c r="A90" s="22" t="s">
        <v>752</v>
      </c>
      <c r="B90" s="10" t="s">
        <v>46</v>
      </c>
      <c r="C90" s="15" t="s">
        <v>735</v>
      </c>
      <c r="D90" s="10" t="s">
        <v>753</v>
      </c>
      <c r="E90" s="11" t="s">
        <v>511</v>
      </c>
      <c r="F90" s="11" t="s">
        <v>191</v>
      </c>
      <c r="G90" s="15" t="s">
        <v>153</v>
      </c>
      <c r="H90" s="15" t="s">
        <v>754</v>
      </c>
      <c r="I90" s="15" t="s">
        <v>193</v>
      </c>
      <c r="J90" s="15" t="s">
        <v>153</v>
      </c>
      <c r="K90" s="11" t="s">
        <v>194</v>
      </c>
      <c r="L90" s="15" t="s">
        <v>755</v>
      </c>
      <c r="M90" s="11" t="n">
        <f aca="false">COUNTIF(Taches!$B$6:$B$250,$A90)</f>
        <v>3</v>
      </c>
      <c r="N90" s="11" t="n">
        <v>1</v>
      </c>
      <c r="O90" s="20" t="s">
        <v>72</v>
      </c>
      <c r="P90" s="21" t="s">
        <v>756</v>
      </c>
      <c r="Q90" s="21" t="s">
        <v>757</v>
      </c>
      <c r="R90" s="21" t="s">
        <v>153</v>
      </c>
    </row>
    <row r="91" customFormat="false" ht="23.85" hidden="false" customHeight="false" outlineLevel="0" collapsed="false">
      <c r="A91" s="22" t="s">
        <v>758</v>
      </c>
      <c r="B91" s="10" t="s">
        <v>46</v>
      </c>
      <c r="C91" s="15" t="s">
        <v>735</v>
      </c>
      <c r="D91" s="10" t="s">
        <v>759</v>
      </c>
      <c r="E91" s="11" t="s">
        <v>483</v>
      </c>
      <c r="F91" s="11" t="s">
        <v>191</v>
      </c>
      <c r="G91" s="15" t="s">
        <v>153</v>
      </c>
      <c r="H91" s="15" t="s">
        <v>760</v>
      </c>
      <c r="I91" s="15" t="s">
        <v>193</v>
      </c>
      <c r="J91" s="15" t="s">
        <v>153</v>
      </c>
      <c r="K91" s="11" t="s">
        <v>761</v>
      </c>
      <c r="L91" s="15" t="s">
        <v>762</v>
      </c>
      <c r="M91" s="11" t="n">
        <f aca="false">COUNTIF(Taches!$B$6:$B$250,$A91)</f>
        <v>1</v>
      </c>
      <c r="N91" s="11" t="n">
        <v>2</v>
      </c>
      <c r="O91" s="20" t="s">
        <v>72</v>
      </c>
      <c r="P91" s="21" t="s">
        <v>763</v>
      </c>
      <c r="Q91" s="21" t="s">
        <v>764</v>
      </c>
      <c r="R91" s="21" t="s">
        <v>153</v>
      </c>
    </row>
    <row r="92" customFormat="false" ht="35.05" hidden="false" customHeight="false" outlineLevel="0" collapsed="false">
      <c r="A92" s="22" t="s">
        <v>765</v>
      </c>
      <c r="B92" s="10" t="s">
        <v>46</v>
      </c>
      <c r="C92" s="15" t="s">
        <v>735</v>
      </c>
      <c r="D92" s="10" t="s">
        <v>766</v>
      </c>
      <c r="E92" s="11" t="s">
        <v>246</v>
      </c>
      <c r="F92" s="11" t="s">
        <v>178</v>
      </c>
      <c r="G92" s="15" t="s">
        <v>184</v>
      </c>
      <c r="H92" s="15" t="s">
        <v>169</v>
      </c>
      <c r="I92" s="15" t="s">
        <v>111</v>
      </c>
      <c r="J92" s="15" t="s">
        <v>112</v>
      </c>
      <c r="K92" s="11" t="s">
        <v>130</v>
      </c>
      <c r="L92" s="15" t="s">
        <v>767</v>
      </c>
      <c r="M92" s="11" t="n">
        <f aca="false">COUNTIF(Taches!$B$6:$B$250,$A92)</f>
        <v>1</v>
      </c>
      <c r="N92" s="11" t="n">
        <v>2</v>
      </c>
      <c r="O92" s="20" t="s">
        <v>72</v>
      </c>
      <c r="P92" s="21" t="s">
        <v>768</v>
      </c>
      <c r="Q92" s="21" t="s">
        <v>173</v>
      </c>
      <c r="R92" s="21" t="s">
        <v>174</v>
      </c>
    </row>
    <row r="93" customFormat="false" ht="23.85" hidden="false" customHeight="false" outlineLevel="0" collapsed="false">
      <c r="A93" s="22" t="s">
        <v>769</v>
      </c>
      <c r="B93" s="10" t="s">
        <v>46</v>
      </c>
      <c r="C93" s="15" t="s">
        <v>735</v>
      </c>
      <c r="D93" s="10" t="s">
        <v>770</v>
      </c>
      <c r="E93" s="11" t="s">
        <v>483</v>
      </c>
      <c r="F93" s="11" t="s">
        <v>191</v>
      </c>
      <c r="G93" s="15" t="s">
        <v>153</v>
      </c>
      <c r="H93" s="15" t="s">
        <v>771</v>
      </c>
      <c r="I93" s="15" t="s">
        <v>193</v>
      </c>
      <c r="J93" s="15" t="s">
        <v>153</v>
      </c>
      <c r="K93" s="11" t="s">
        <v>772</v>
      </c>
      <c r="L93" s="15" t="s">
        <v>773</v>
      </c>
      <c r="M93" s="11" t="n">
        <f aca="false">COUNTIF(Taches!$B$6:$B$250,$A93)</f>
        <v>1</v>
      </c>
      <c r="N93" s="11" t="n">
        <v>3</v>
      </c>
      <c r="O93" s="20" t="s">
        <v>72</v>
      </c>
      <c r="P93" s="21" t="s">
        <v>774</v>
      </c>
      <c r="Q93" s="21" t="s">
        <v>381</v>
      </c>
      <c r="R93" s="21" t="s">
        <v>153</v>
      </c>
    </row>
    <row r="94" customFormat="false" ht="23.85" hidden="false" customHeight="false" outlineLevel="0" collapsed="false">
      <c r="A94" s="17" t="s">
        <v>775</v>
      </c>
      <c r="B94" s="18" t="s">
        <v>46</v>
      </c>
      <c r="C94" s="19" t="s">
        <v>735</v>
      </c>
      <c r="D94" s="18" t="s">
        <v>776</v>
      </c>
      <c r="E94" s="16" t="s">
        <v>301</v>
      </c>
      <c r="F94" s="17" t="s">
        <v>97</v>
      </c>
      <c r="G94" s="19" t="s">
        <v>777</v>
      </c>
      <c r="H94" s="19" t="s">
        <v>778</v>
      </c>
      <c r="I94" s="19" t="s">
        <v>193</v>
      </c>
      <c r="J94" s="19" t="s">
        <v>779</v>
      </c>
      <c r="K94" s="16" t="s">
        <v>761</v>
      </c>
      <c r="L94" s="19" t="s">
        <v>780</v>
      </c>
      <c r="M94" s="16" t="n">
        <f aca="false">COUNTIF(Taches!$B$6:$B$250,$A94)</f>
        <v>1</v>
      </c>
      <c r="N94" s="16" t="n">
        <v>1</v>
      </c>
      <c r="O94" s="20" t="s">
        <v>72</v>
      </c>
      <c r="P94" s="21" t="s">
        <v>601</v>
      </c>
      <c r="Q94" s="21" t="s">
        <v>781</v>
      </c>
      <c r="R94" s="21" t="s">
        <v>782</v>
      </c>
    </row>
    <row r="95" customFormat="false" ht="23.85" hidden="false" customHeight="false" outlineLevel="0" collapsed="false">
      <c r="A95" s="22" t="s">
        <v>783</v>
      </c>
      <c r="B95" s="10" t="s">
        <v>46</v>
      </c>
      <c r="C95" s="15" t="s">
        <v>735</v>
      </c>
      <c r="D95" s="10" t="s">
        <v>784</v>
      </c>
      <c r="E95" s="11" t="s">
        <v>246</v>
      </c>
      <c r="F95" s="11" t="s">
        <v>191</v>
      </c>
      <c r="G95" s="15" t="s">
        <v>153</v>
      </c>
      <c r="H95" s="15" t="s">
        <v>785</v>
      </c>
      <c r="I95" s="15" t="s">
        <v>193</v>
      </c>
      <c r="J95" s="15" t="s">
        <v>153</v>
      </c>
      <c r="K95" s="11" t="s">
        <v>786</v>
      </c>
      <c r="L95" s="15" t="s">
        <v>787</v>
      </c>
      <c r="M95" s="11" t="n">
        <f aca="false">COUNTIF(Taches!$B$6:$B$250,$A95)</f>
        <v>1</v>
      </c>
      <c r="N95" s="11" t="n">
        <v>2</v>
      </c>
      <c r="O95" s="20" t="s">
        <v>72</v>
      </c>
      <c r="P95" s="21" t="s">
        <v>788</v>
      </c>
      <c r="Q95" s="21" t="s">
        <v>381</v>
      </c>
      <c r="R95" s="21" t="s">
        <v>153</v>
      </c>
    </row>
    <row r="96" customFormat="false" ht="23.85" hidden="false" customHeight="false" outlineLevel="0" collapsed="false">
      <c r="A96" s="22" t="s">
        <v>789</v>
      </c>
      <c r="B96" s="10" t="s">
        <v>46</v>
      </c>
      <c r="C96" s="15" t="s">
        <v>790</v>
      </c>
      <c r="D96" s="10" t="s">
        <v>791</v>
      </c>
      <c r="E96" s="11" t="s">
        <v>511</v>
      </c>
      <c r="F96" s="11" t="s">
        <v>191</v>
      </c>
      <c r="G96" s="15" t="s">
        <v>153</v>
      </c>
      <c r="H96" s="15" t="s">
        <v>792</v>
      </c>
      <c r="I96" s="15" t="s">
        <v>193</v>
      </c>
      <c r="J96" s="15" t="s">
        <v>153</v>
      </c>
      <c r="K96" s="11" t="s">
        <v>793</v>
      </c>
      <c r="L96" s="15" t="s">
        <v>794</v>
      </c>
      <c r="M96" s="11" t="n">
        <f aca="false">COUNTIF(Taches!$B$6:$B$250,$A96)</f>
        <v>2</v>
      </c>
      <c r="N96" s="11" t="n">
        <v>2</v>
      </c>
      <c r="O96" s="20" t="s">
        <v>72</v>
      </c>
      <c r="P96" s="21" t="s">
        <v>795</v>
      </c>
      <c r="Q96" s="21" t="s">
        <v>796</v>
      </c>
      <c r="R96" s="21" t="s">
        <v>797</v>
      </c>
    </row>
    <row r="97" customFormat="false" ht="23.85" hidden="false" customHeight="false" outlineLevel="0" collapsed="false">
      <c r="A97" s="22" t="s">
        <v>798</v>
      </c>
      <c r="B97" s="10" t="s">
        <v>46</v>
      </c>
      <c r="C97" s="15" t="s">
        <v>790</v>
      </c>
      <c r="D97" s="10" t="s">
        <v>799</v>
      </c>
      <c r="E97" s="11" t="s">
        <v>301</v>
      </c>
      <c r="F97" s="11" t="s">
        <v>191</v>
      </c>
      <c r="G97" s="15" t="s">
        <v>153</v>
      </c>
      <c r="H97" s="15" t="s">
        <v>800</v>
      </c>
      <c r="I97" s="15" t="s">
        <v>193</v>
      </c>
      <c r="J97" s="15" t="s">
        <v>153</v>
      </c>
      <c r="K97" s="11" t="s">
        <v>337</v>
      </c>
      <c r="L97" s="15" t="s">
        <v>801</v>
      </c>
      <c r="M97" s="11" t="n">
        <f aca="false">COUNTIF(Taches!$B$6:$B$250,$A97)</f>
        <v>1</v>
      </c>
      <c r="N97" s="11" t="n">
        <v>2</v>
      </c>
      <c r="O97" s="20" t="s">
        <v>72</v>
      </c>
      <c r="P97" s="21" t="s">
        <v>802</v>
      </c>
      <c r="Q97" s="21" t="s">
        <v>381</v>
      </c>
      <c r="R97" s="21" t="s">
        <v>671</v>
      </c>
    </row>
    <row r="98" customFormat="false" ht="23.85" hidden="false" customHeight="false" outlineLevel="0" collapsed="false">
      <c r="A98" s="22" t="s">
        <v>803</v>
      </c>
      <c r="B98" s="10" t="s">
        <v>46</v>
      </c>
      <c r="C98" s="15" t="s">
        <v>790</v>
      </c>
      <c r="D98" s="10" t="s">
        <v>804</v>
      </c>
      <c r="E98" s="11" t="s">
        <v>511</v>
      </c>
      <c r="F98" s="11" t="s">
        <v>191</v>
      </c>
      <c r="G98" s="15" t="s">
        <v>153</v>
      </c>
      <c r="H98" s="15" t="s">
        <v>805</v>
      </c>
      <c r="I98" s="15" t="s">
        <v>193</v>
      </c>
      <c r="J98" s="15" t="s">
        <v>153</v>
      </c>
      <c r="K98" s="11" t="s">
        <v>337</v>
      </c>
      <c r="L98" s="15" t="s">
        <v>806</v>
      </c>
      <c r="M98" s="11" t="n">
        <f aca="false">COUNTIF(Taches!$B$6:$B$250,$A98)</f>
        <v>1</v>
      </c>
      <c r="N98" s="11" t="n">
        <v>3</v>
      </c>
      <c r="O98" s="20" t="s">
        <v>72</v>
      </c>
      <c r="P98" s="21" t="s">
        <v>807</v>
      </c>
      <c r="Q98" s="21" t="s">
        <v>488</v>
      </c>
      <c r="R98" s="21" t="s">
        <v>153</v>
      </c>
    </row>
    <row r="99" customFormat="false" ht="23.85" hidden="false" customHeight="false" outlineLevel="0" collapsed="false">
      <c r="A99" s="22" t="s">
        <v>808</v>
      </c>
      <c r="B99" s="10" t="s">
        <v>46</v>
      </c>
      <c r="C99" s="15" t="s">
        <v>790</v>
      </c>
      <c r="D99" s="10" t="s">
        <v>809</v>
      </c>
      <c r="E99" s="11" t="s">
        <v>483</v>
      </c>
      <c r="F99" s="11" t="s">
        <v>191</v>
      </c>
      <c r="G99" s="15" t="s">
        <v>153</v>
      </c>
      <c r="H99" s="15" t="s">
        <v>810</v>
      </c>
      <c r="I99" s="15" t="s">
        <v>193</v>
      </c>
      <c r="J99" s="15" t="s">
        <v>153</v>
      </c>
      <c r="K99" s="11" t="s">
        <v>450</v>
      </c>
      <c r="L99" s="15" t="s">
        <v>811</v>
      </c>
      <c r="M99" s="11" t="n">
        <f aca="false">COUNTIF(Taches!$B$6:$B$250,$A99)</f>
        <v>1</v>
      </c>
      <c r="N99" s="11" t="n">
        <v>3</v>
      </c>
      <c r="O99" s="20" t="s">
        <v>72</v>
      </c>
      <c r="P99" s="21" t="s">
        <v>812</v>
      </c>
      <c r="Q99" s="21" t="s">
        <v>813</v>
      </c>
      <c r="R99" s="21" t="s">
        <v>153</v>
      </c>
    </row>
    <row r="100" customFormat="false" ht="23.85" hidden="false" customHeight="false" outlineLevel="0" collapsed="false">
      <c r="A100" s="22" t="s">
        <v>814</v>
      </c>
      <c r="B100" s="10" t="s">
        <v>46</v>
      </c>
      <c r="C100" s="15" t="s">
        <v>790</v>
      </c>
      <c r="D100" s="10" t="s">
        <v>815</v>
      </c>
      <c r="E100" s="11" t="s">
        <v>246</v>
      </c>
      <c r="F100" s="11" t="s">
        <v>191</v>
      </c>
      <c r="G100" s="15" t="s">
        <v>153</v>
      </c>
      <c r="H100" s="15" t="s">
        <v>816</v>
      </c>
      <c r="I100" s="15" t="s">
        <v>193</v>
      </c>
      <c r="J100" s="15" t="s">
        <v>153</v>
      </c>
      <c r="K100" s="11" t="s">
        <v>194</v>
      </c>
      <c r="L100" s="15" t="s">
        <v>817</v>
      </c>
      <c r="M100" s="11" t="n">
        <f aca="false">COUNTIF(Taches!$B$6:$B$250,$A100)</f>
        <v>2</v>
      </c>
      <c r="N100" s="11" t="n">
        <v>2</v>
      </c>
      <c r="O100" s="20" t="s">
        <v>72</v>
      </c>
      <c r="P100" s="21" t="s">
        <v>818</v>
      </c>
      <c r="Q100" s="21" t="s">
        <v>488</v>
      </c>
      <c r="R100" s="21" t="s">
        <v>153</v>
      </c>
    </row>
    <row r="101" customFormat="false" ht="23.85" hidden="false" customHeight="false" outlineLevel="0" collapsed="false">
      <c r="A101" s="22" t="s">
        <v>819</v>
      </c>
      <c r="B101" s="10" t="s">
        <v>46</v>
      </c>
      <c r="C101" s="15" t="s">
        <v>790</v>
      </c>
      <c r="D101" s="10" t="s">
        <v>820</v>
      </c>
      <c r="E101" s="11" t="s">
        <v>511</v>
      </c>
      <c r="F101" s="11" t="s">
        <v>191</v>
      </c>
      <c r="G101" s="15" t="s">
        <v>153</v>
      </c>
      <c r="H101" s="15" t="s">
        <v>821</v>
      </c>
      <c r="I101" s="15" t="s">
        <v>193</v>
      </c>
      <c r="J101" s="15" t="s">
        <v>153</v>
      </c>
      <c r="K101" s="11" t="s">
        <v>761</v>
      </c>
      <c r="L101" s="15" t="s">
        <v>822</v>
      </c>
      <c r="M101" s="11" t="n">
        <f aca="false">COUNTIF(Taches!$B$6:$B$250,$A101)</f>
        <v>1</v>
      </c>
      <c r="N101" s="11" t="n">
        <v>3</v>
      </c>
      <c r="O101" s="20" t="s">
        <v>72</v>
      </c>
      <c r="P101" s="21" t="s">
        <v>823</v>
      </c>
      <c r="Q101" s="21" t="s">
        <v>427</v>
      </c>
      <c r="R101" s="21" t="s">
        <v>824</v>
      </c>
    </row>
    <row r="102" customFormat="false" ht="15" hidden="false" customHeight="false" outlineLevel="0" collapsed="false">
      <c r="A102" s="22" t="s">
        <v>825</v>
      </c>
      <c r="B102" s="10" t="s">
        <v>46</v>
      </c>
      <c r="C102" s="15" t="s">
        <v>790</v>
      </c>
      <c r="D102" s="10" t="s">
        <v>826</v>
      </c>
      <c r="E102" s="11" t="s">
        <v>715</v>
      </c>
      <c r="F102" s="11" t="s">
        <v>191</v>
      </c>
      <c r="G102" s="15" t="s">
        <v>153</v>
      </c>
      <c r="H102" s="15" t="s">
        <v>827</v>
      </c>
      <c r="I102" s="15" t="s">
        <v>193</v>
      </c>
      <c r="J102" s="15" t="s">
        <v>153</v>
      </c>
      <c r="K102" s="11" t="s">
        <v>828</v>
      </c>
      <c r="L102" s="15" t="s">
        <v>829</v>
      </c>
      <c r="M102" s="11" t="n">
        <f aca="false">COUNTIF(Taches!$B$6:$B$250,$A102)</f>
        <v>1</v>
      </c>
      <c r="N102" s="11" t="n">
        <v>3</v>
      </c>
      <c r="O102" s="20" t="s">
        <v>76</v>
      </c>
      <c r="P102" s="21" t="s">
        <v>152</v>
      </c>
      <c r="Q102" s="21" t="s">
        <v>153</v>
      </c>
      <c r="R102" s="21" t="s">
        <v>153</v>
      </c>
    </row>
    <row r="103" customFormat="false" ht="23.85" hidden="false" customHeight="false" outlineLevel="0" collapsed="false">
      <c r="A103" s="22" t="s">
        <v>830</v>
      </c>
      <c r="B103" s="10" t="s">
        <v>47</v>
      </c>
      <c r="C103" s="15" t="s">
        <v>831</v>
      </c>
      <c r="D103" s="10" t="s">
        <v>832</v>
      </c>
      <c r="E103" s="11" t="s">
        <v>833</v>
      </c>
      <c r="F103" s="11" t="s">
        <v>191</v>
      </c>
      <c r="G103" s="15" t="s">
        <v>153</v>
      </c>
      <c r="H103" s="15" t="s">
        <v>834</v>
      </c>
      <c r="I103" s="15" t="s">
        <v>201</v>
      </c>
      <c r="J103" s="15" t="s">
        <v>581</v>
      </c>
      <c r="K103" s="11" t="s">
        <v>835</v>
      </c>
      <c r="L103" s="15" t="s">
        <v>836</v>
      </c>
      <c r="M103" s="11" t="n">
        <f aca="false">COUNTIF(Taches!$B$6:$B$250,$A103)</f>
        <v>2</v>
      </c>
      <c r="N103" s="11" t="n">
        <v>1</v>
      </c>
      <c r="O103" s="20" t="s">
        <v>75</v>
      </c>
      <c r="P103" s="21" t="s">
        <v>152</v>
      </c>
      <c r="Q103" s="21" t="s">
        <v>153</v>
      </c>
      <c r="R103" s="21" t="s">
        <v>837</v>
      </c>
    </row>
    <row r="104" customFormat="false" ht="23.85" hidden="false" customHeight="false" outlineLevel="0" collapsed="false">
      <c r="A104" s="22" t="s">
        <v>838</v>
      </c>
      <c r="B104" s="10" t="s">
        <v>47</v>
      </c>
      <c r="C104" s="15" t="s">
        <v>831</v>
      </c>
      <c r="D104" s="10" t="s">
        <v>839</v>
      </c>
      <c r="E104" s="11" t="s">
        <v>190</v>
      </c>
      <c r="F104" s="11" t="s">
        <v>191</v>
      </c>
      <c r="G104" s="15" t="s">
        <v>153</v>
      </c>
      <c r="H104" s="15" t="s">
        <v>840</v>
      </c>
      <c r="I104" s="15" t="s">
        <v>513</v>
      </c>
      <c r="J104" s="15" t="s">
        <v>153</v>
      </c>
      <c r="K104" s="11" t="s">
        <v>841</v>
      </c>
      <c r="L104" s="15" t="s">
        <v>842</v>
      </c>
      <c r="M104" s="11" t="n">
        <f aca="false">COUNTIF(Taches!$B$6:$B$250,$A104)</f>
        <v>1</v>
      </c>
      <c r="N104" s="11" t="n">
        <v>1</v>
      </c>
      <c r="O104" s="20" t="s">
        <v>76</v>
      </c>
      <c r="P104" s="21" t="s">
        <v>152</v>
      </c>
      <c r="Q104" s="21" t="s">
        <v>153</v>
      </c>
      <c r="R104" s="21" t="s">
        <v>153</v>
      </c>
    </row>
    <row r="105" customFormat="false" ht="23.85" hidden="false" customHeight="false" outlineLevel="0" collapsed="false">
      <c r="A105" s="22" t="s">
        <v>843</v>
      </c>
      <c r="B105" s="10" t="s">
        <v>47</v>
      </c>
      <c r="C105" s="15" t="s">
        <v>831</v>
      </c>
      <c r="D105" s="10" t="s">
        <v>844</v>
      </c>
      <c r="E105" s="11" t="s">
        <v>137</v>
      </c>
      <c r="F105" s="11" t="s">
        <v>224</v>
      </c>
      <c r="G105" s="15" t="s">
        <v>845</v>
      </c>
      <c r="H105" s="15" t="s">
        <v>846</v>
      </c>
      <c r="I105" s="15" t="s">
        <v>201</v>
      </c>
      <c r="J105" s="15" t="s">
        <v>847</v>
      </c>
      <c r="K105" s="11" t="s">
        <v>153</v>
      </c>
      <c r="L105" s="15" t="s">
        <v>848</v>
      </c>
      <c r="M105" s="11" t="n">
        <f aca="false">COUNTIF(Taches!$B$6:$B$250,$A105)</f>
        <v>1</v>
      </c>
      <c r="N105" s="11" t="n">
        <v>2</v>
      </c>
      <c r="O105" s="20" t="s">
        <v>75</v>
      </c>
      <c r="P105" s="21" t="s">
        <v>152</v>
      </c>
      <c r="Q105" s="21" t="s">
        <v>153</v>
      </c>
      <c r="R105" s="21" t="s">
        <v>849</v>
      </c>
    </row>
    <row r="106" customFormat="false" ht="15" hidden="false" customHeight="false" outlineLevel="0" collapsed="false">
      <c r="A106" s="22" t="s">
        <v>850</v>
      </c>
      <c r="B106" s="10" t="s">
        <v>47</v>
      </c>
      <c r="C106" s="15" t="s">
        <v>831</v>
      </c>
      <c r="D106" s="10" t="s">
        <v>851</v>
      </c>
      <c r="E106" s="11" t="s">
        <v>715</v>
      </c>
      <c r="F106" s="11" t="s">
        <v>191</v>
      </c>
      <c r="G106" s="15" t="s">
        <v>153</v>
      </c>
      <c r="H106" s="15" t="s">
        <v>852</v>
      </c>
      <c r="I106" s="15" t="s">
        <v>193</v>
      </c>
      <c r="J106" s="15" t="s">
        <v>153</v>
      </c>
      <c r="K106" s="11" t="s">
        <v>853</v>
      </c>
      <c r="L106" s="15" t="s">
        <v>854</v>
      </c>
      <c r="M106" s="11" t="n">
        <f aca="false">COUNTIF(Taches!$B$6:$B$250,$A106)</f>
        <v>1</v>
      </c>
      <c r="N106" s="11" t="n">
        <v>2</v>
      </c>
      <c r="O106" s="20" t="s">
        <v>76</v>
      </c>
      <c r="P106" s="21" t="s">
        <v>152</v>
      </c>
      <c r="Q106" s="21" t="s">
        <v>153</v>
      </c>
      <c r="R106" s="21" t="s">
        <v>153</v>
      </c>
    </row>
    <row r="107" customFormat="false" ht="23.85" hidden="false" customHeight="false" outlineLevel="0" collapsed="false">
      <c r="A107" s="22" t="s">
        <v>855</v>
      </c>
      <c r="B107" s="10" t="s">
        <v>47</v>
      </c>
      <c r="C107" s="15" t="s">
        <v>831</v>
      </c>
      <c r="D107" s="10" t="s">
        <v>856</v>
      </c>
      <c r="E107" s="11" t="s">
        <v>857</v>
      </c>
      <c r="F107" s="11" t="s">
        <v>191</v>
      </c>
      <c r="G107" s="15" t="s">
        <v>153</v>
      </c>
      <c r="H107" s="15" t="s">
        <v>858</v>
      </c>
      <c r="I107" s="15" t="s">
        <v>201</v>
      </c>
      <c r="J107" s="15" t="s">
        <v>859</v>
      </c>
      <c r="K107" s="11" t="s">
        <v>312</v>
      </c>
      <c r="L107" s="15" t="s">
        <v>860</v>
      </c>
      <c r="M107" s="11" t="n">
        <f aca="false">COUNTIF(Taches!$B$6:$B$250,$A107)</f>
        <v>1</v>
      </c>
      <c r="N107" s="11" t="n">
        <v>2</v>
      </c>
      <c r="O107" s="20" t="s">
        <v>75</v>
      </c>
      <c r="P107" s="21" t="s">
        <v>152</v>
      </c>
      <c r="Q107" s="21" t="s">
        <v>153</v>
      </c>
      <c r="R107" s="21" t="s">
        <v>861</v>
      </c>
    </row>
    <row r="108" customFormat="false" ht="23.85" hidden="false" customHeight="false" outlineLevel="0" collapsed="false">
      <c r="A108" s="22" t="s">
        <v>862</v>
      </c>
      <c r="B108" s="10" t="s">
        <v>47</v>
      </c>
      <c r="C108" s="15" t="s">
        <v>831</v>
      </c>
      <c r="D108" s="10" t="s">
        <v>863</v>
      </c>
      <c r="E108" s="11" t="s">
        <v>137</v>
      </c>
      <c r="F108" s="11" t="s">
        <v>191</v>
      </c>
      <c r="G108" s="15" t="s">
        <v>153</v>
      </c>
      <c r="H108" s="15" t="s">
        <v>864</v>
      </c>
      <c r="I108" s="15" t="s">
        <v>193</v>
      </c>
      <c r="J108" s="15" t="s">
        <v>153</v>
      </c>
      <c r="K108" s="11" t="s">
        <v>194</v>
      </c>
      <c r="L108" s="15" t="s">
        <v>865</v>
      </c>
      <c r="M108" s="11" t="n">
        <f aca="false">COUNTIF(Taches!$B$6:$B$250,$A108)</f>
        <v>1</v>
      </c>
      <c r="N108" s="11" t="n">
        <v>3</v>
      </c>
      <c r="O108" s="20" t="s">
        <v>76</v>
      </c>
      <c r="P108" s="21" t="s">
        <v>152</v>
      </c>
      <c r="Q108" s="21" t="s">
        <v>153</v>
      </c>
      <c r="R108" s="21" t="s">
        <v>153</v>
      </c>
    </row>
    <row r="109" customFormat="false" ht="23.85" hidden="false" customHeight="false" outlineLevel="0" collapsed="false">
      <c r="A109" s="22" t="s">
        <v>866</v>
      </c>
      <c r="B109" s="10" t="s">
        <v>47</v>
      </c>
      <c r="C109" s="15" t="s">
        <v>831</v>
      </c>
      <c r="D109" s="10" t="s">
        <v>867</v>
      </c>
      <c r="E109" s="11" t="s">
        <v>153</v>
      </c>
      <c r="F109" s="11" t="s">
        <v>191</v>
      </c>
      <c r="G109" s="15" t="s">
        <v>153</v>
      </c>
      <c r="H109" s="15" t="s">
        <v>868</v>
      </c>
      <c r="I109" s="15" t="s">
        <v>193</v>
      </c>
      <c r="J109" s="15" t="s">
        <v>153</v>
      </c>
      <c r="K109" s="11" t="s">
        <v>194</v>
      </c>
      <c r="L109" s="15" t="s">
        <v>869</v>
      </c>
      <c r="M109" s="11" t="n">
        <f aca="false">COUNTIF(Taches!$B$6:$B$250,$A109)</f>
        <v>1</v>
      </c>
      <c r="N109" s="11" t="n">
        <v>3</v>
      </c>
      <c r="O109" s="20" t="s">
        <v>76</v>
      </c>
      <c r="P109" s="21" t="s">
        <v>152</v>
      </c>
      <c r="Q109" s="21" t="s">
        <v>153</v>
      </c>
      <c r="R109" s="21" t="s">
        <v>153</v>
      </c>
    </row>
    <row r="110" customFormat="false" ht="35.05" hidden="false" customHeight="false" outlineLevel="0" collapsed="false">
      <c r="A110" s="17" t="s">
        <v>870</v>
      </c>
      <c r="B110" s="18" t="s">
        <v>49</v>
      </c>
      <c r="C110" s="19" t="s">
        <v>49</v>
      </c>
      <c r="D110" s="18" t="s">
        <v>871</v>
      </c>
      <c r="E110" s="16" t="s">
        <v>177</v>
      </c>
      <c r="F110" s="17" t="s">
        <v>97</v>
      </c>
      <c r="G110" s="19" t="s">
        <v>872</v>
      </c>
      <c r="H110" s="19" t="s">
        <v>873</v>
      </c>
      <c r="I110" s="19" t="s">
        <v>874</v>
      </c>
      <c r="J110" s="19" t="s">
        <v>875</v>
      </c>
      <c r="K110" s="16" t="s">
        <v>876</v>
      </c>
      <c r="L110" s="19" t="s">
        <v>877</v>
      </c>
      <c r="M110" s="16" t="n">
        <f aca="false">COUNTIF(Taches!$B$6:$B$250,$A110)</f>
        <v>1</v>
      </c>
      <c r="N110" s="16" t="n">
        <v>1</v>
      </c>
      <c r="O110" s="20" t="s">
        <v>75</v>
      </c>
      <c r="P110" s="21" t="s">
        <v>878</v>
      </c>
      <c r="Q110" s="21" t="s">
        <v>879</v>
      </c>
      <c r="R110" s="21" t="s">
        <v>880</v>
      </c>
    </row>
    <row r="111" customFormat="false" ht="35.05" hidden="false" customHeight="false" outlineLevel="0" collapsed="false">
      <c r="A111" s="17" t="s">
        <v>881</v>
      </c>
      <c r="B111" s="18" t="s">
        <v>49</v>
      </c>
      <c r="C111" s="19" t="s">
        <v>49</v>
      </c>
      <c r="D111" s="18" t="s">
        <v>882</v>
      </c>
      <c r="E111" s="16" t="s">
        <v>246</v>
      </c>
      <c r="F111" s="17" t="s">
        <v>97</v>
      </c>
      <c r="G111" s="19" t="s">
        <v>883</v>
      </c>
      <c r="H111" s="19" t="s">
        <v>884</v>
      </c>
      <c r="I111" s="19" t="s">
        <v>885</v>
      </c>
      <c r="J111" s="19" t="s">
        <v>875</v>
      </c>
      <c r="K111" s="16" t="s">
        <v>886</v>
      </c>
      <c r="L111" s="19" t="s">
        <v>887</v>
      </c>
      <c r="M111" s="16" t="n">
        <f aca="false">COUNTIF(Taches!$B$6:$B$250,$A111)</f>
        <v>1</v>
      </c>
      <c r="N111" s="16" t="n">
        <v>2</v>
      </c>
      <c r="O111" s="20" t="s">
        <v>75</v>
      </c>
      <c r="P111" s="21" t="s">
        <v>878</v>
      </c>
      <c r="Q111" s="21" t="s">
        <v>879</v>
      </c>
      <c r="R111" s="21" t="s">
        <v>888</v>
      </c>
    </row>
    <row r="112" customFormat="false" ht="35.05" hidden="false" customHeight="false" outlineLevel="0" collapsed="false">
      <c r="A112" s="22" t="s">
        <v>889</v>
      </c>
      <c r="B112" s="10" t="s">
        <v>49</v>
      </c>
      <c r="C112" s="15" t="s">
        <v>49</v>
      </c>
      <c r="D112" s="10" t="s">
        <v>890</v>
      </c>
      <c r="E112" s="11" t="s">
        <v>891</v>
      </c>
      <c r="F112" s="11" t="s">
        <v>191</v>
      </c>
      <c r="G112" s="15" t="s">
        <v>153</v>
      </c>
      <c r="H112" s="15" t="s">
        <v>892</v>
      </c>
      <c r="I112" s="15" t="s">
        <v>893</v>
      </c>
      <c r="J112" s="15" t="s">
        <v>894</v>
      </c>
      <c r="K112" s="11" t="s">
        <v>895</v>
      </c>
      <c r="L112" s="15" t="s">
        <v>896</v>
      </c>
      <c r="M112" s="11" t="n">
        <f aca="false">COUNTIF(Taches!$B$6:$B$250,$A112)</f>
        <v>1</v>
      </c>
      <c r="N112" s="11" t="n">
        <v>3</v>
      </c>
      <c r="O112" s="20" t="s">
        <v>72</v>
      </c>
      <c r="P112" s="21" t="s">
        <v>897</v>
      </c>
      <c r="Q112" s="21" t="s">
        <v>898</v>
      </c>
      <c r="R112" s="21" t="s">
        <v>899</v>
      </c>
    </row>
  </sheetData>
  <autoFilter ref="A5:R1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O1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30"/>
    <col collapsed="false" customWidth="true" hidden="false" outlineLevel="0" max="4" min="4" style="0" width="18"/>
    <col collapsed="false" customWidth="true" hidden="false" outlineLevel="0" max="5" min="5" style="0" width="38"/>
    <col collapsed="false" customWidth="true" hidden="false" outlineLevel="0" max="6" min="6" style="0" width="10"/>
    <col collapsed="false" customWidth="true" hidden="false" outlineLevel="0" max="7" min="7" style="0" width="12"/>
    <col collapsed="false" customWidth="true" hidden="false" outlineLevel="0" max="8" min="8" style="0" width="34"/>
    <col collapsed="false" customWidth="true" hidden="false" outlineLevel="0" max="9" min="9" style="0" width="28"/>
    <col collapsed="false" customWidth="true" hidden="false" outlineLevel="0" max="10" min="10" style="0" width="10"/>
    <col collapsed="false" customWidth="true" hidden="false" outlineLevel="0" max="11" min="11" style="0" width="32"/>
    <col collapsed="false" customWidth="true" hidden="false" outlineLevel="0" max="12" min="12" style="0" width="68"/>
    <col collapsed="false" customWidth="true" hidden="false" outlineLevel="0" max="13" min="13" style="0" width="46"/>
    <col collapsed="false" customWidth="true" hidden="false" outlineLevel="0" max="14" min="14" style="0" width="12"/>
    <col collapsed="false" customWidth="true" hidden="false" outlineLevel="0" max="15" min="15" style="0" width="11"/>
  </cols>
  <sheetData>
    <row r="2" customFormat="false" ht="19.7" hidden="false" customHeight="false" outlineLevel="0" collapsed="false">
      <c r="A2" s="1" t="s">
        <v>900</v>
      </c>
    </row>
    <row r="3" customFormat="false" ht="15" hidden="false" customHeight="false" outlineLevel="0" collapsed="false">
      <c r="A3" s="2" t="s">
        <v>901</v>
      </c>
    </row>
    <row r="5" customFormat="false" ht="31.5" hidden="false" customHeight="true" outlineLevel="0" collapsed="false">
      <c r="A5" s="9" t="s">
        <v>902</v>
      </c>
      <c r="B5" s="9" t="s">
        <v>903</v>
      </c>
      <c r="C5" s="9" t="s">
        <v>81</v>
      </c>
      <c r="D5" s="9" t="s">
        <v>35</v>
      </c>
      <c r="E5" s="9" t="s">
        <v>904</v>
      </c>
      <c r="F5" s="9" t="s">
        <v>905</v>
      </c>
      <c r="G5" s="9" t="s">
        <v>906</v>
      </c>
      <c r="H5" s="9" t="s">
        <v>907</v>
      </c>
      <c r="I5" s="9" t="s">
        <v>908</v>
      </c>
      <c r="J5" s="9" t="s">
        <v>909</v>
      </c>
      <c r="K5" s="9" t="s">
        <v>910</v>
      </c>
      <c r="L5" s="9" t="s">
        <v>911</v>
      </c>
      <c r="M5" s="9" t="s">
        <v>912</v>
      </c>
      <c r="N5" s="9" t="s">
        <v>21</v>
      </c>
      <c r="O5" s="9" t="s">
        <v>53</v>
      </c>
    </row>
    <row r="6" customFormat="false" ht="35.05" hidden="false" customHeight="false" outlineLevel="0" collapsed="false">
      <c r="A6" s="17" t="s">
        <v>913</v>
      </c>
      <c r="B6" s="16" t="s">
        <v>93</v>
      </c>
      <c r="C6" s="19" t="s">
        <v>95</v>
      </c>
      <c r="D6" s="19" t="str">
        <f aca="false">IFERROR(INDEX(Equipements!$B$6:$B$200,MATCH($B6,Equipements!$A$6:$A$200,0)),"?")</f>
        <v>Chauffage &amp; climatisation</v>
      </c>
      <c r="E6" s="18" t="s">
        <v>914</v>
      </c>
      <c r="F6" s="16" t="s">
        <v>201</v>
      </c>
      <c r="G6" s="16" t="n">
        <v>12</v>
      </c>
      <c r="H6" s="19" t="s">
        <v>915</v>
      </c>
      <c r="I6" s="19" t="s">
        <v>916</v>
      </c>
      <c r="J6" s="16" t="n">
        <v>90</v>
      </c>
      <c r="K6" s="19" t="s">
        <v>917</v>
      </c>
      <c r="L6" s="19" t="s">
        <v>918</v>
      </c>
      <c r="M6" s="19" t="s">
        <v>919</v>
      </c>
      <c r="N6" s="17" t="s">
        <v>97</v>
      </c>
      <c r="O6" s="16" t="s">
        <v>56</v>
      </c>
    </row>
    <row r="7" customFormat="false" ht="35.05" hidden="false" customHeight="false" outlineLevel="0" collapsed="false">
      <c r="A7" s="23" t="s">
        <v>920</v>
      </c>
      <c r="B7" s="24" t="s">
        <v>93</v>
      </c>
      <c r="C7" s="25" t="s">
        <v>95</v>
      </c>
      <c r="D7" s="25" t="str">
        <f aca="false">IFERROR(INDEX(Equipements!$B$6:$B$200,MATCH($B7,Equipements!$A$6:$A$200,0)),"?")</f>
        <v>Chauffage &amp; climatisation</v>
      </c>
      <c r="E7" s="26" t="s">
        <v>921</v>
      </c>
      <c r="F7" s="24" t="s">
        <v>922</v>
      </c>
      <c r="G7" s="24" t="n">
        <v>1</v>
      </c>
      <c r="H7" s="25" t="s">
        <v>923</v>
      </c>
      <c r="I7" s="25" t="s">
        <v>924</v>
      </c>
      <c r="J7" s="24" t="n">
        <v>3</v>
      </c>
      <c r="K7" s="25" t="s">
        <v>925</v>
      </c>
      <c r="L7" s="25" t="s">
        <v>926</v>
      </c>
      <c r="M7" s="25" t="s">
        <v>927</v>
      </c>
      <c r="N7" s="24" t="s">
        <v>191</v>
      </c>
      <c r="O7" s="24" t="s">
        <v>56</v>
      </c>
    </row>
    <row r="8" customFormat="false" ht="23.85" hidden="false" customHeight="false" outlineLevel="0" collapsed="false">
      <c r="A8" s="13" t="s">
        <v>928</v>
      </c>
      <c r="B8" s="27" t="s">
        <v>93</v>
      </c>
      <c r="C8" s="28" t="s">
        <v>95</v>
      </c>
      <c r="D8" s="28" t="str">
        <f aca="false">IFERROR(INDEX(Equipements!$B$6:$B$200,MATCH($B8,Equipements!$A$6:$A$200,0)),"?")</f>
        <v>Chauffage &amp; climatisation</v>
      </c>
      <c r="E8" s="12" t="s">
        <v>929</v>
      </c>
      <c r="F8" s="27" t="s">
        <v>201</v>
      </c>
      <c r="G8" s="27" t="n">
        <v>24</v>
      </c>
      <c r="H8" s="28" t="s">
        <v>169</v>
      </c>
      <c r="I8" s="28" t="s">
        <v>930</v>
      </c>
      <c r="J8" s="27" t="n">
        <v>20</v>
      </c>
      <c r="K8" s="28" t="s">
        <v>931</v>
      </c>
      <c r="L8" s="28" t="s">
        <v>932</v>
      </c>
      <c r="M8" s="28" t="s">
        <v>933</v>
      </c>
      <c r="N8" s="27" t="s">
        <v>191</v>
      </c>
      <c r="O8" s="27" t="s">
        <v>58</v>
      </c>
    </row>
    <row r="9" customFormat="false" ht="35.05" hidden="false" customHeight="false" outlineLevel="0" collapsed="false">
      <c r="A9" s="17" t="s">
        <v>934</v>
      </c>
      <c r="B9" s="16" t="s">
        <v>107</v>
      </c>
      <c r="C9" s="19" t="s">
        <v>108</v>
      </c>
      <c r="D9" s="19" t="str">
        <f aca="false">IFERROR(INDEX(Equipements!$B$6:$B$200,MATCH($B9,Equipements!$A$6:$A$200,0)),"?")</f>
        <v>Chauffage &amp; climatisation</v>
      </c>
      <c r="E9" s="18" t="s">
        <v>935</v>
      </c>
      <c r="F9" s="16" t="s">
        <v>201</v>
      </c>
      <c r="G9" s="16" t="n">
        <v>12</v>
      </c>
      <c r="H9" s="19" t="s">
        <v>915</v>
      </c>
      <c r="I9" s="19" t="s">
        <v>936</v>
      </c>
      <c r="J9" s="16" t="n">
        <v>120</v>
      </c>
      <c r="K9" s="19" t="s">
        <v>937</v>
      </c>
      <c r="L9" s="19" t="s">
        <v>938</v>
      </c>
      <c r="M9" s="19" t="s">
        <v>939</v>
      </c>
      <c r="N9" s="17" t="s">
        <v>97</v>
      </c>
      <c r="O9" s="16" t="s">
        <v>56</v>
      </c>
    </row>
    <row r="10" customFormat="false" ht="23.85" hidden="false" customHeight="false" outlineLevel="0" collapsed="false">
      <c r="A10" s="23" t="s">
        <v>940</v>
      </c>
      <c r="B10" s="24" t="s">
        <v>107</v>
      </c>
      <c r="C10" s="25" t="s">
        <v>108</v>
      </c>
      <c r="D10" s="25" t="str">
        <f aca="false">IFERROR(INDEX(Equipements!$B$6:$B$200,MATCH($B10,Equipements!$A$6:$A$200,0)),"?")</f>
        <v>Chauffage &amp; climatisation</v>
      </c>
      <c r="E10" s="26" t="s">
        <v>941</v>
      </c>
      <c r="F10" s="24" t="s">
        <v>922</v>
      </c>
      <c r="G10" s="24" t="n">
        <v>1</v>
      </c>
      <c r="H10" s="25" t="s">
        <v>923</v>
      </c>
      <c r="I10" s="25" t="s">
        <v>942</v>
      </c>
      <c r="J10" s="24" t="n">
        <v>5</v>
      </c>
      <c r="K10" s="25" t="s">
        <v>943</v>
      </c>
      <c r="L10" s="25" t="s">
        <v>944</v>
      </c>
      <c r="M10" s="25" t="s">
        <v>945</v>
      </c>
      <c r="N10" s="24" t="s">
        <v>191</v>
      </c>
      <c r="O10" s="24" t="s">
        <v>56</v>
      </c>
    </row>
    <row r="11" customFormat="false" ht="23.85" hidden="false" customHeight="false" outlineLevel="0" collapsed="false">
      <c r="A11" s="17" t="s">
        <v>946</v>
      </c>
      <c r="B11" s="16" t="s">
        <v>118</v>
      </c>
      <c r="C11" s="19" t="s">
        <v>119</v>
      </c>
      <c r="D11" s="19" t="str">
        <f aca="false">IFERROR(INDEX(Equipements!$B$6:$B$200,MATCH($B11,Equipements!$A$6:$A$200,0)),"?")</f>
        <v>Chauffage &amp; climatisation</v>
      </c>
      <c r="E11" s="18" t="s">
        <v>947</v>
      </c>
      <c r="F11" s="16" t="s">
        <v>201</v>
      </c>
      <c r="G11" s="16" t="n">
        <v>12</v>
      </c>
      <c r="H11" s="19" t="s">
        <v>915</v>
      </c>
      <c r="I11" s="19" t="s">
        <v>948</v>
      </c>
      <c r="J11" s="16" t="n">
        <v>120</v>
      </c>
      <c r="K11" s="19" t="s">
        <v>937</v>
      </c>
      <c r="L11" s="19" t="s">
        <v>949</v>
      </c>
      <c r="M11" s="19" t="s">
        <v>950</v>
      </c>
      <c r="N11" s="17" t="s">
        <v>97</v>
      </c>
      <c r="O11" s="16" t="s">
        <v>56</v>
      </c>
    </row>
    <row r="12" customFormat="false" ht="23.85" hidden="false" customHeight="false" outlineLevel="0" collapsed="false">
      <c r="A12" s="23" t="s">
        <v>951</v>
      </c>
      <c r="B12" s="24" t="s">
        <v>118</v>
      </c>
      <c r="C12" s="25" t="s">
        <v>119</v>
      </c>
      <c r="D12" s="25" t="str">
        <f aca="false">IFERROR(INDEX(Equipements!$B$6:$B$200,MATCH($B12,Equipements!$A$6:$A$200,0)),"?")</f>
        <v>Chauffage &amp; climatisation</v>
      </c>
      <c r="E12" s="26" t="s">
        <v>952</v>
      </c>
      <c r="F12" s="24" t="s">
        <v>922</v>
      </c>
      <c r="G12" s="24" t="n">
        <v>1</v>
      </c>
      <c r="H12" s="25" t="s">
        <v>953</v>
      </c>
      <c r="I12" s="25" t="s">
        <v>954</v>
      </c>
      <c r="J12" s="24" t="n">
        <v>10</v>
      </c>
      <c r="K12" s="25" t="s">
        <v>955</v>
      </c>
      <c r="L12" s="25" t="s">
        <v>956</v>
      </c>
      <c r="M12" s="25" t="s">
        <v>957</v>
      </c>
      <c r="N12" s="24" t="s">
        <v>191</v>
      </c>
      <c r="O12" s="24" t="s">
        <v>56</v>
      </c>
    </row>
    <row r="13" customFormat="false" ht="23.85" hidden="false" customHeight="false" outlineLevel="0" collapsed="false">
      <c r="A13" s="23" t="s">
        <v>958</v>
      </c>
      <c r="B13" s="24" t="s">
        <v>127</v>
      </c>
      <c r="C13" s="25" t="s">
        <v>128</v>
      </c>
      <c r="D13" s="25" t="str">
        <f aca="false">IFERROR(INDEX(Equipements!$B$6:$B$200,MATCH($B13,Equipements!$A$6:$A$200,0)),"?")</f>
        <v>Chauffage &amp; climatisation</v>
      </c>
      <c r="E13" s="26" t="s">
        <v>959</v>
      </c>
      <c r="F13" s="24" t="s">
        <v>922</v>
      </c>
      <c r="G13" s="24" t="n">
        <v>0.25</v>
      </c>
      <c r="H13" s="25" t="s">
        <v>960</v>
      </c>
      <c r="I13" s="25" t="s">
        <v>954</v>
      </c>
      <c r="J13" s="24" t="n">
        <v>15</v>
      </c>
      <c r="K13" s="25" t="s">
        <v>961</v>
      </c>
      <c r="L13" s="25" t="s">
        <v>962</v>
      </c>
      <c r="M13" s="25" t="s">
        <v>963</v>
      </c>
      <c r="N13" s="24" t="s">
        <v>191</v>
      </c>
      <c r="O13" s="24" t="s">
        <v>56</v>
      </c>
    </row>
    <row r="14" customFormat="false" ht="35.05" hidden="false" customHeight="false" outlineLevel="0" collapsed="false">
      <c r="A14" s="23" t="s">
        <v>964</v>
      </c>
      <c r="B14" s="24" t="s">
        <v>127</v>
      </c>
      <c r="C14" s="25" t="s">
        <v>128</v>
      </c>
      <c r="D14" s="25" t="str">
        <f aca="false">IFERROR(INDEX(Equipements!$B$6:$B$200,MATCH($B14,Equipements!$A$6:$A$200,0)),"?")</f>
        <v>Chauffage &amp; climatisation</v>
      </c>
      <c r="E14" s="26" t="s">
        <v>965</v>
      </c>
      <c r="F14" s="24" t="s">
        <v>922</v>
      </c>
      <c r="G14" s="24" t="n">
        <v>1</v>
      </c>
      <c r="H14" s="25" t="s">
        <v>966</v>
      </c>
      <c r="I14" s="25" t="s">
        <v>954</v>
      </c>
      <c r="J14" s="24" t="n">
        <v>25</v>
      </c>
      <c r="K14" s="25" t="s">
        <v>967</v>
      </c>
      <c r="L14" s="25" t="s">
        <v>968</v>
      </c>
      <c r="M14" s="25" t="s">
        <v>969</v>
      </c>
      <c r="N14" s="24" t="s">
        <v>191</v>
      </c>
      <c r="O14" s="24" t="s">
        <v>56</v>
      </c>
    </row>
    <row r="15" customFormat="false" ht="23.85" hidden="false" customHeight="false" outlineLevel="0" collapsed="false">
      <c r="A15" s="17" t="s">
        <v>970</v>
      </c>
      <c r="B15" s="16" t="s">
        <v>127</v>
      </c>
      <c r="C15" s="19" t="s">
        <v>128</v>
      </c>
      <c r="D15" s="19" t="str">
        <f aca="false">IFERROR(INDEX(Equipements!$B$6:$B$200,MATCH($B15,Equipements!$A$6:$A$200,0)),"?")</f>
        <v>Chauffage &amp; climatisation</v>
      </c>
      <c r="E15" s="18" t="s">
        <v>971</v>
      </c>
      <c r="F15" s="16" t="s">
        <v>201</v>
      </c>
      <c r="G15" s="16" t="n">
        <v>12</v>
      </c>
      <c r="H15" s="19" t="s">
        <v>915</v>
      </c>
      <c r="I15" s="19" t="s">
        <v>948</v>
      </c>
      <c r="J15" s="16" t="n">
        <v>90</v>
      </c>
      <c r="K15" s="19" t="s">
        <v>937</v>
      </c>
      <c r="L15" s="19" t="s">
        <v>972</v>
      </c>
      <c r="M15" s="19" t="s">
        <v>973</v>
      </c>
      <c r="N15" s="17" t="s">
        <v>97</v>
      </c>
      <c r="O15" s="16" t="s">
        <v>56</v>
      </c>
    </row>
    <row r="16" customFormat="false" ht="23.85" hidden="false" customHeight="false" outlineLevel="0" collapsed="false">
      <c r="A16" s="13" t="s">
        <v>974</v>
      </c>
      <c r="B16" s="27" t="s">
        <v>127</v>
      </c>
      <c r="C16" s="28" t="s">
        <v>128</v>
      </c>
      <c r="D16" s="28" t="str">
        <f aca="false">IFERROR(INDEX(Equipements!$B$6:$B$200,MATCH($B16,Equipements!$A$6:$A$200,0)),"?")</f>
        <v>Chauffage &amp; climatisation</v>
      </c>
      <c r="E16" s="12" t="s">
        <v>975</v>
      </c>
      <c r="F16" s="27" t="s">
        <v>201</v>
      </c>
      <c r="G16" s="27" t="n">
        <v>36</v>
      </c>
      <c r="H16" s="28" t="s">
        <v>976</v>
      </c>
      <c r="I16" s="28" t="s">
        <v>977</v>
      </c>
      <c r="J16" s="27" t="n">
        <v>30</v>
      </c>
      <c r="K16" s="28" t="s">
        <v>978</v>
      </c>
      <c r="L16" s="28" t="s">
        <v>979</v>
      </c>
      <c r="M16" s="28" t="s">
        <v>980</v>
      </c>
      <c r="N16" s="27" t="s">
        <v>191</v>
      </c>
      <c r="O16" s="27" t="s">
        <v>58</v>
      </c>
    </row>
    <row r="17" customFormat="false" ht="23.85" hidden="false" customHeight="false" outlineLevel="0" collapsed="false">
      <c r="A17" s="23" t="s">
        <v>981</v>
      </c>
      <c r="B17" s="24" t="s">
        <v>135</v>
      </c>
      <c r="C17" s="25" t="s">
        <v>136</v>
      </c>
      <c r="D17" s="25" t="str">
        <f aca="false">IFERROR(INDEX(Equipements!$B$6:$B$200,MATCH($B17,Equipements!$A$6:$A$200,0)),"?")</f>
        <v>Chauffage &amp; climatisation</v>
      </c>
      <c r="E17" s="26" t="s">
        <v>982</v>
      </c>
      <c r="F17" s="24" t="s">
        <v>922</v>
      </c>
      <c r="G17" s="24" t="n">
        <v>0.25</v>
      </c>
      <c r="H17" s="25" t="s">
        <v>960</v>
      </c>
      <c r="I17" s="25" t="s">
        <v>954</v>
      </c>
      <c r="J17" s="24" t="n">
        <v>15</v>
      </c>
      <c r="K17" s="25" t="s">
        <v>983</v>
      </c>
      <c r="L17" s="25" t="s">
        <v>984</v>
      </c>
      <c r="M17" s="25" t="s">
        <v>985</v>
      </c>
      <c r="N17" s="24" t="s">
        <v>191</v>
      </c>
      <c r="O17" s="24" t="s">
        <v>56</v>
      </c>
    </row>
    <row r="18" customFormat="false" ht="23.85" hidden="false" customHeight="false" outlineLevel="0" collapsed="false">
      <c r="A18" s="17" t="s">
        <v>986</v>
      </c>
      <c r="B18" s="16" t="s">
        <v>135</v>
      </c>
      <c r="C18" s="19" t="s">
        <v>136</v>
      </c>
      <c r="D18" s="19" t="str">
        <f aca="false">IFERROR(INDEX(Equipements!$B$6:$B$200,MATCH($B18,Equipements!$A$6:$A$200,0)),"?")</f>
        <v>Chauffage &amp; climatisation</v>
      </c>
      <c r="E18" s="18" t="s">
        <v>987</v>
      </c>
      <c r="F18" s="16" t="s">
        <v>201</v>
      </c>
      <c r="G18" s="16" t="n">
        <v>12</v>
      </c>
      <c r="H18" s="19" t="s">
        <v>915</v>
      </c>
      <c r="I18" s="19" t="s">
        <v>948</v>
      </c>
      <c r="J18" s="16" t="n">
        <v>60</v>
      </c>
      <c r="K18" s="19" t="s">
        <v>937</v>
      </c>
      <c r="L18" s="19" t="s">
        <v>988</v>
      </c>
      <c r="M18" s="19" t="s">
        <v>989</v>
      </c>
      <c r="N18" s="17" t="s">
        <v>97</v>
      </c>
      <c r="O18" s="16" t="s">
        <v>56</v>
      </c>
    </row>
    <row r="19" customFormat="false" ht="35.05" hidden="false" customHeight="false" outlineLevel="0" collapsed="false">
      <c r="A19" s="17" t="s">
        <v>990</v>
      </c>
      <c r="B19" s="16" t="s">
        <v>155</v>
      </c>
      <c r="C19" s="19" t="s">
        <v>156</v>
      </c>
      <c r="D19" s="19" t="str">
        <f aca="false">IFERROR(INDEX(Equipements!$B$6:$B$200,MATCH($B19,Equipements!$A$6:$A$200,0)),"?")</f>
        <v>Chauffage &amp; climatisation</v>
      </c>
      <c r="E19" s="18" t="s">
        <v>991</v>
      </c>
      <c r="F19" s="16" t="s">
        <v>201</v>
      </c>
      <c r="G19" s="16" t="n">
        <v>12</v>
      </c>
      <c r="H19" s="19" t="s">
        <v>992</v>
      </c>
      <c r="I19" s="19" t="s">
        <v>993</v>
      </c>
      <c r="J19" s="16" t="n">
        <v>45</v>
      </c>
      <c r="K19" s="19" t="s">
        <v>994</v>
      </c>
      <c r="L19" s="19" t="s">
        <v>995</v>
      </c>
      <c r="M19" s="19" t="s">
        <v>996</v>
      </c>
      <c r="N19" s="17" t="s">
        <v>97</v>
      </c>
      <c r="O19" s="16" t="s">
        <v>56</v>
      </c>
    </row>
    <row r="20" customFormat="false" ht="35.05" hidden="false" customHeight="false" outlineLevel="0" collapsed="false">
      <c r="A20" s="17" t="s">
        <v>997</v>
      </c>
      <c r="B20" s="16" t="s">
        <v>155</v>
      </c>
      <c r="C20" s="19" t="s">
        <v>156</v>
      </c>
      <c r="D20" s="19" t="str">
        <f aca="false">IFERROR(INDEX(Equipements!$B$6:$B$200,MATCH($B20,Equipements!$A$6:$A$200,0)),"?")</f>
        <v>Chauffage &amp; climatisation</v>
      </c>
      <c r="E20" s="18" t="s">
        <v>998</v>
      </c>
      <c r="F20" s="16" t="s">
        <v>201</v>
      </c>
      <c r="G20" s="16" t="n">
        <v>6</v>
      </c>
      <c r="H20" s="19" t="s">
        <v>999</v>
      </c>
      <c r="I20" s="19" t="s">
        <v>1000</v>
      </c>
      <c r="J20" s="16" t="n">
        <v>45</v>
      </c>
      <c r="K20" s="19" t="s">
        <v>994</v>
      </c>
      <c r="L20" s="19" t="s">
        <v>1001</v>
      </c>
      <c r="M20" s="19" t="s">
        <v>1002</v>
      </c>
      <c r="N20" s="17" t="s">
        <v>97</v>
      </c>
      <c r="O20" s="16" t="s">
        <v>56</v>
      </c>
    </row>
    <row r="21" customFormat="false" ht="23.85" hidden="false" customHeight="false" outlineLevel="0" collapsed="false">
      <c r="A21" s="17" t="s">
        <v>1003</v>
      </c>
      <c r="B21" s="16" t="s">
        <v>144</v>
      </c>
      <c r="C21" s="19" t="s">
        <v>145</v>
      </c>
      <c r="D21" s="19" t="str">
        <f aca="false">IFERROR(INDEX(Equipements!$B$6:$B$200,MATCH($B21,Equipements!$A$6:$A$200,0)),"?")</f>
        <v>Chauffage &amp; climatisation</v>
      </c>
      <c r="E21" s="18" t="s">
        <v>1004</v>
      </c>
      <c r="F21" s="16" t="s">
        <v>201</v>
      </c>
      <c r="G21" s="16" t="n">
        <v>12</v>
      </c>
      <c r="H21" s="19" t="s">
        <v>992</v>
      </c>
      <c r="I21" s="19" t="s">
        <v>1005</v>
      </c>
      <c r="J21" s="16" t="n">
        <v>45</v>
      </c>
      <c r="K21" s="19" t="s">
        <v>994</v>
      </c>
      <c r="L21" s="19" t="s">
        <v>1006</v>
      </c>
      <c r="M21" s="19" t="s">
        <v>151</v>
      </c>
      <c r="N21" s="17" t="s">
        <v>97</v>
      </c>
      <c r="O21" s="16" t="s">
        <v>56</v>
      </c>
    </row>
    <row r="22" customFormat="false" ht="35.05" hidden="false" customHeight="false" outlineLevel="0" collapsed="false">
      <c r="A22" s="17" t="s">
        <v>1007</v>
      </c>
      <c r="B22" s="16" t="s">
        <v>166</v>
      </c>
      <c r="C22" s="19" t="s">
        <v>167</v>
      </c>
      <c r="D22" s="19" t="str">
        <f aca="false">IFERROR(INDEX(Equipements!$B$6:$B$200,MATCH($B22,Equipements!$A$6:$A$200,0)),"?")</f>
        <v>Chauffage &amp; climatisation</v>
      </c>
      <c r="E22" s="18" t="s">
        <v>1008</v>
      </c>
      <c r="F22" s="16" t="s">
        <v>201</v>
      </c>
      <c r="G22" s="16" t="n">
        <v>24</v>
      </c>
      <c r="H22" s="19" t="s">
        <v>169</v>
      </c>
      <c r="I22" s="19" t="s">
        <v>1009</v>
      </c>
      <c r="J22" s="16" t="n">
        <v>90</v>
      </c>
      <c r="K22" s="19" t="s">
        <v>937</v>
      </c>
      <c r="L22" s="19" t="s">
        <v>1010</v>
      </c>
      <c r="M22" s="19" t="s">
        <v>1011</v>
      </c>
      <c r="N22" s="17" t="s">
        <v>97</v>
      </c>
      <c r="O22" s="16" t="s">
        <v>56</v>
      </c>
    </row>
    <row r="23" customFormat="false" ht="35.05" hidden="false" customHeight="false" outlineLevel="0" collapsed="false">
      <c r="A23" s="23" t="s">
        <v>1012</v>
      </c>
      <c r="B23" s="24" t="s">
        <v>166</v>
      </c>
      <c r="C23" s="25" t="s">
        <v>167</v>
      </c>
      <c r="D23" s="25" t="str">
        <f aca="false">IFERROR(INDEX(Equipements!$B$6:$B$200,MATCH($B23,Equipements!$A$6:$A$200,0)),"?")</f>
        <v>Chauffage &amp; climatisation</v>
      </c>
      <c r="E23" s="26" t="s">
        <v>1013</v>
      </c>
      <c r="F23" s="24" t="s">
        <v>922</v>
      </c>
      <c r="G23" s="24" t="n">
        <v>6</v>
      </c>
      <c r="H23" s="25" t="s">
        <v>709</v>
      </c>
      <c r="I23" s="25" t="s">
        <v>1014</v>
      </c>
      <c r="J23" s="24" t="n">
        <v>20</v>
      </c>
      <c r="K23" s="25" t="s">
        <v>1015</v>
      </c>
      <c r="L23" s="25" t="s">
        <v>1016</v>
      </c>
      <c r="M23" s="25" t="s">
        <v>1017</v>
      </c>
      <c r="N23" s="24" t="s">
        <v>191</v>
      </c>
      <c r="O23" s="24" t="s">
        <v>56</v>
      </c>
    </row>
    <row r="24" customFormat="false" ht="23.85" hidden="false" customHeight="false" outlineLevel="0" collapsed="false">
      <c r="A24" s="23" t="s">
        <v>1018</v>
      </c>
      <c r="B24" s="24" t="s">
        <v>166</v>
      </c>
      <c r="C24" s="25" t="s">
        <v>167</v>
      </c>
      <c r="D24" s="25" t="str">
        <f aca="false">IFERROR(INDEX(Equipements!$B$6:$B$200,MATCH($B24,Equipements!$A$6:$A$200,0)),"?")</f>
        <v>Chauffage &amp; climatisation</v>
      </c>
      <c r="E24" s="26" t="s">
        <v>1019</v>
      </c>
      <c r="F24" s="24" t="s">
        <v>922</v>
      </c>
      <c r="G24" s="24" t="n">
        <v>12</v>
      </c>
      <c r="H24" s="25" t="s">
        <v>1020</v>
      </c>
      <c r="I24" s="25" t="s">
        <v>1021</v>
      </c>
      <c r="J24" s="24" t="n">
        <v>10</v>
      </c>
      <c r="K24" s="25" t="s">
        <v>1022</v>
      </c>
      <c r="L24" s="25" t="s">
        <v>1023</v>
      </c>
      <c r="M24" s="25" t="s">
        <v>1024</v>
      </c>
      <c r="N24" s="24" t="s">
        <v>191</v>
      </c>
      <c r="O24" s="24" t="s">
        <v>56</v>
      </c>
    </row>
    <row r="25" customFormat="false" ht="23.85" hidden="false" customHeight="false" outlineLevel="0" collapsed="false">
      <c r="A25" s="23" t="s">
        <v>1025</v>
      </c>
      <c r="B25" s="24" t="s">
        <v>175</v>
      </c>
      <c r="C25" s="25" t="s">
        <v>176</v>
      </c>
      <c r="D25" s="25" t="str">
        <f aca="false">IFERROR(INDEX(Equipements!$B$6:$B$200,MATCH($B25,Equipements!$A$6:$A$200,0)),"?")</f>
        <v>Chauffage &amp; climatisation</v>
      </c>
      <c r="E25" s="26" t="s">
        <v>1026</v>
      </c>
      <c r="F25" s="24" t="s">
        <v>922</v>
      </c>
      <c r="G25" s="24" t="n">
        <v>1</v>
      </c>
      <c r="H25" s="25" t="s">
        <v>1027</v>
      </c>
      <c r="I25" s="25" t="s">
        <v>924</v>
      </c>
      <c r="J25" s="24" t="n">
        <v>10</v>
      </c>
      <c r="K25" s="25" t="s">
        <v>1028</v>
      </c>
      <c r="L25" s="25" t="s">
        <v>1029</v>
      </c>
      <c r="M25" s="25" t="s">
        <v>1030</v>
      </c>
      <c r="N25" s="24" t="s">
        <v>191</v>
      </c>
      <c r="O25" s="24" t="s">
        <v>56</v>
      </c>
    </row>
    <row r="26" customFormat="false" ht="23.85" hidden="false" customHeight="false" outlineLevel="0" collapsed="false">
      <c r="A26" s="17" t="s">
        <v>1031</v>
      </c>
      <c r="B26" s="16" t="s">
        <v>175</v>
      </c>
      <c r="C26" s="19" t="s">
        <v>176</v>
      </c>
      <c r="D26" s="19" t="str">
        <f aca="false">IFERROR(INDEX(Equipements!$B$6:$B$200,MATCH($B26,Equipements!$A$6:$A$200,0)),"?")</f>
        <v>Chauffage &amp; climatisation</v>
      </c>
      <c r="E26" s="18" t="s">
        <v>1032</v>
      </c>
      <c r="F26" s="16" t="s">
        <v>201</v>
      </c>
      <c r="G26" s="16" t="n">
        <v>24</v>
      </c>
      <c r="H26" s="19" t="s">
        <v>169</v>
      </c>
      <c r="I26" s="19" t="s">
        <v>1033</v>
      </c>
      <c r="J26" s="16" t="n">
        <v>90</v>
      </c>
      <c r="K26" s="19" t="s">
        <v>297</v>
      </c>
      <c r="L26" s="19" t="s">
        <v>1034</v>
      </c>
      <c r="M26" s="19" t="s">
        <v>1035</v>
      </c>
      <c r="N26" s="17" t="s">
        <v>97</v>
      </c>
      <c r="O26" s="16" t="s">
        <v>56</v>
      </c>
    </row>
    <row r="27" customFormat="false" ht="35.05" hidden="false" customHeight="false" outlineLevel="0" collapsed="false">
      <c r="A27" s="23" t="s">
        <v>1036</v>
      </c>
      <c r="B27" s="24" t="s">
        <v>188</v>
      </c>
      <c r="C27" s="25" t="s">
        <v>189</v>
      </c>
      <c r="D27" s="25" t="str">
        <f aca="false">IFERROR(INDEX(Equipements!$B$6:$B$200,MATCH($B27,Equipements!$A$6:$A$200,0)),"?")</f>
        <v>Chauffage &amp; climatisation</v>
      </c>
      <c r="E27" s="26" t="s">
        <v>1037</v>
      </c>
      <c r="F27" s="24" t="s">
        <v>922</v>
      </c>
      <c r="G27" s="24" t="n">
        <v>12</v>
      </c>
      <c r="H27" s="25" t="s">
        <v>1020</v>
      </c>
      <c r="I27" s="25" t="s">
        <v>1038</v>
      </c>
      <c r="J27" s="24" t="n">
        <v>30</v>
      </c>
      <c r="K27" s="25" t="s">
        <v>1039</v>
      </c>
      <c r="L27" s="25" t="s">
        <v>1040</v>
      </c>
      <c r="M27" s="25" t="s">
        <v>1041</v>
      </c>
      <c r="N27" s="24" t="s">
        <v>191</v>
      </c>
      <c r="O27" s="24" t="s">
        <v>56</v>
      </c>
    </row>
    <row r="28" customFormat="false" ht="23.85" hidden="false" customHeight="false" outlineLevel="0" collapsed="false">
      <c r="A28" s="23" t="s">
        <v>1042</v>
      </c>
      <c r="B28" s="24" t="s">
        <v>188</v>
      </c>
      <c r="C28" s="25" t="s">
        <v>189</v>
      </c>
      <c r="D28" s="25" t="str">
        <f aca="false">IFERROR(INDEX(Equipements!$B$6:$B$200,MATCH($B28,Equipements!$A$6:$A$200,0)),"?")</f>
        <v>Chauffage &amp; climatisation</v>
      </c>
      <c r="E28" s="26" t="s">
        <v>1043</v>
      </c>
      <c r="F28" s="24" t="s">
        <v>922</v>
      </c>
      <c r="G28" s="24" t="n">
        <v>6</v>
      </c>
      <c r="H28" s="25" t="s">
        <v>709</v>
      </c>
      <c r="I28" s="25" t="s">
        <v>1044</v>
      </c>
      <c r="J28" s="24" t="n">
        <v>20</v>
      </c>
      <c r="K28" s="25" t="s">
        <v>1045</v>
      </c>
      <c r="L28" s="25" t="s">
        <v>1046</v>
      </c>
      <c r="M28" s="25" t="s">
        <v>1047</v>
      </c>
      <c r="N28" s="24" t="s">
        <v>191</v>
      </c>
      <c r="O28" s="24" t="s">
        <v>56</v>
      </c>
    </row>
    <row r="29" customFormat="false" ht="23.85" hidden="false" customHeight="false" outlineLevel="0" collapsed="false">
      <c r="A29" s="13" t="s">
        <v>1048</v>
      </c>
      <c r="B29" s="27" t="s">
        <v>198</v>
      </c>
      <c r="C29" s="28" t="s">
        <v>199</v>
      </c>
      <c r="D29" s="28" t="str">
        <f aca="false">IFERROR(INDEX(Equipements!$B$6:$B$200,MATCH($B29,Equipements!$A$6:$A$200,0)),"?")</f>
        <v>Chauffage &amp; climatisation</v>
      </c>
      <c r="E29" s="12" t="s">
        <v>1049</v>
      </c>
      <c r="F29" s="27" t="s">
        <v>201</v>
      </c>
      <c r="G29" s="27" t="n">
        <v>108</v>
      </c>
      <c r="H29" s="28" t="s">
        <v>1050</v>
      </c>
      <c r="I29" s="28" t="s">
        <v>1051</v>
      </c>
      <c r="J29" s="27" t="n">
        <v>240</v>
      </c>
      <c r="K29" s="28" t="s">
        <v>1052</v>
      </c>
      <c r="L29" s="28" t="s">
        <v>1053</v>
      </c>
      <c r="M29" s="28" t="s">
        <v>1054</v>
      </c>
      <c r="N29" s="27" t="s">
        <v>191</v>
      </c>
      <c r="O29" s="27" t="s">
        <v>60</v>
      </c>
    </row>
    <row r="30" customFormat="false" ht="23.85" hidden="false" customHeight="false" outlineLevel="0" collapsed="false">
      <c r="A30" s="23" t="s">
        <v>1055</v>
      </c>
      <c r="B30" s="24" t="s">
        <v>215</v>
      </c>
      <c r="C30" s="25" t="s">
        <v>216</v>
      </c>
      <c r="D30" s="25" t="str">
        <f aca="false">IFERROR(INDEX(Equipements!$B$6:$B$200,MATCH($B30,Equipements!$A$6:$A$200,0)),"?")</f>
        <v>Chauffage &amp; climatisation</v>
      </c>
      <c r="E30" s="26" t="s">
        <v>1056</v>
      </c>
      <c r="F30" s="24" t="s">
        <v>922</v>
      </c>
      <c r="G30" s="24" t="n">
        <v>12</v>
      </c>
      <c r="H30" s="25" t="s">
        <v>1020</v>
      </c>
      <c r="I30" s="25" t="s">
        <v>1057</v>
      </c>
      <c r="J30" s="24" t="n">
        <v>15</v>
      </c>
      <c r="K30" s="25" t="s">
        <v>1058</v>
      </c>
      <c r="L30" s="25" t="s">
        <v>1059</v>
      </c>
      <c r="M30" s="25" t="s">
        <v>1060</v>
      </c>
      <c r="N30" s="24" t="s">
        <v>191</v>
      </c>
      <c r="O30" s="24" t="s">
        <v>56</v>
      </c>
    </row>
    <row r="31" customFormat="false" ht="23.85" hidden="false" customHeight="false" outlineLevel="0" collapsed="false">
      <c r="A31" s="13" t="s">
        <v>1061</v>
      </c>
      <c r="B31" s="27" t="s">
        <v>221</v>
      </c>
      <c r="C31" s="28" t="s">
        <v>222</v>
      </c>
      <c r="D31" s="28" t="str">
        <f aca="false">IFERROR(INDEX(Equipements!$B$6:$B$200,MATCH($B31,Equipements!$A$6:$A$200,0)),"?")</f>
        <v>Chauffage &amp; climatisation</v>
      </c>
      <c r="E31" s="12" t="s">
        <v>1062</v>
      </c>
      <c r="F31" s="27" t="s">
        <v>201</v>
      </c>
      <c r="G31" s="27" t="n">
        <v>84</v>
      </c>
      <c r="H31" s="28" t="s">
        <v>1063</v>
      </c>
      <c r="I31" s="28" t="s">
        <v>1064</v>
      </c>
      <c r="J31" s="27" t="n">
        <v>180</v>
      </c>
      <c r="K31" s="28" t="s">
        <v>1065</v>
      </c>
      <c r="L31" s="28" t="s">
        <v>1066</v>
      </c>
      <c r="M31" s="28" t="s">
        <v>1067</v>
      </c>
      <c r="N31" s="27" t="s">
        <v>224</v>
      </c>
      <c r="O31" s="27" t="s">
        <v>60</v>
      </c>
    </row>
    <row r="32" customFormat="false" ht="35.05" hidden="false" customHeight="false" outlineLevel="0" collapsed="false">
      <c r="A32" s="23" t="s">
        <v>1068</v>
      </c>
      <c r="B32" s="24" t="s">
        <v>252</v>
      </c>
      <c r="C32" s="25" t="s">
        <v>254</v>
      </c>
      <c r="D32" s="25" t="str">
        <f aca="false">IFERROR(INDEX(Equipements!$B$6:$B$200,MATCH($B32,Equipements!$A$6:$A$200,0)),"?")</f>
        <v>Chauffage &amp; climatisation</v>
      </c>
      <c r="E32" s="26" t="s">
        <v>1069</v>
      </c>
      <c r="F32" s="24" t="s">
        <v>922</v>
      </c>
      <c r="G32" s="24" t="n">
        <v>1</v>
      </c>
      <c r="H32" s="25" t="s">
        <v>923</v>
      </c>
      <c r="I32" s="25" t="s">
        <v>924</v>
      </c>
      <c r="J32" s="24" t="n">
        <v>2</v>
      </c>
      <c r="K32" s="25" t="s">
        <v>1022</v>
      </c>
      <c r="L32" s="25" t="s">
        <v>1070</v>
      </c>
      <c r="M32" s="25" t="s">
        <v>1071</v>
      </c>
      <c r="N32" s="24" t="s">
        <v>191</v>
      </c>
      <c r="O32" s="24" t="s">
        <v>56</v>
      </c>
    </row>
    <row r="33" customFormat="false" ht="35.05" hidden="false" customHeight="false" outlineLevel="0" collapsed="false">
      <c r="A33" s="13" t="s">
        <v>1072</v>
      </c>
      <c r="B33" s="27" t="s">
        <v>252</v>
      </c>
      <c r="C33" s="28" t="s">
        <v>254</v>
      </c>
      <c r="D33" s="28" t="str">
        <f aca="false">IFERROR(INDEX(Equipements!$B$6:$B$200,MATCH($B33,Equipements!$A$6:$A$200,0)),"?")</f>
        <v>Chauffage &amp; climatisation</v>
      </c>
      <c r="E33" s="12" t="s">
        <v>1073</v>
      </c>
      <c r="F33" s="27" t="s">
        <v>201</v>
      </c>
      <c r="G33" s="27" t="n">
        <v>24</v>
      </c>
      <c r="H33" s="28" t="s">
        <v>1074</v>
      </c>
      <c r="I33" s="28" t="s">
        <v>1075</v>
      </c>
      <c r="J33" s="27" t="n">
        <v>120</v>
      </c>
      <c r="K33" s="28" t="s">
        <v>1076</v>
      </c>
      <c r="L33" s="28" t="s">
        <v>1077</v>
      </c>
      <c r="M33" s="28" t="s">
        <v>1078</v>
      </c>
      <c r="N33" s="27" t="s">
        <v>191</v>
      </c>
      <c r="O33" s="27" t="s">
        <v>56</v>
      </c>
    </row>
    <row r="34" customFormat="false" ht="23.85" hidden="false" customHeight="false" outlineLevel="0" collapsed="false">
      <c r="A34" s="23" t="s">
        <v>1079</v>
      </c>
      <c r="B34" s="24" t="s">
        <v>252</v>
      </c>
      <c r="C34" s="25" t="s">
        <v>254</v>
      </c>
      <c r="D34" s="25" t="str">
        <f aca="false">IFERROR(INDEX(Equipements!$B$6:$B$200,MATCH($B34,Equipements!$A$6:$A$200,0)),"?")</f>
        <v>Chauffage &amp; climatisation</v>
      </c>
      <c r="E34" s="26" t="s">
        <v>1080</v>
      </c>
      <c r="F34" s="24" t="s">
        <v>922</v>
      </c>
      <c r="G34" s="24" t="n">
        <v>12</v>
      </c>
      <c r="H34" s="25" t="s">
        <v>1020</v>
      </c>
      <c r="I34" s="25" t="s">
        <v>1081</v>
      </c>
      <c r="J34" s="24" t="n">
        <v>5</v>
      </c>
      <c r="K34" s="25" t="s">
        <v>1082</v>
      </c>
      <c r="L34" s="25" t="s">
        <v>1083</v>
      </c>
      <c r="M34" s="25" t="s">
        <v>1084</v>
      </c>
      <c r="N34" s="24" t="s">
        <v>191</v>
      </c>
      <c r="O34" s="24" t="s">
        <v>56</v>
      </c>
    </row>
    <row r="35" customFormat="false" ht="23.85" hidden="false" customHeight="false" outlineLevel="0" collapsed="false">
      <c r="A35" s="17" t="s">
        <v>1085</v>
      </c>
      <c r="B35" s="16" t="s">
        <v>260</v>
      </c>
      <c r="C35" s="19" t="s">
        <v>261</v>
      </c>
      <c r="D35" s="19" t="str">
        <f aca="false">IFERROR(INDEX(Equipements!$B$6:$B$200,MATCH($B35,Equipements!$A$6:$A$200,0)),"?")</f>
        <v>Chauffage &amp; climatisation</v>
      </c>
      <c r="E35" s="18" t="s">
        <v>1086</v>
      </c>
      <c r="F35" s="16" t="s">
        <v>201</v>
      </c>
      <c r="G35" s="16" t="n">
        <v>24</v>
      </c>
      <c r="H35" s="19" t="s">
        <v>169</v>
      </c>
      <c r="I35" s="19" t="s">
        <v>1033</v>
      </c>
      <c r="J35" s="16" t="n">
        <v>90</v>
      </c>
      <c r="K35" s="19" t="s">
        <v>111</v>
      </c>
      <c r="L35" s="19" t="s">
        <v>1087</v>
      </c>
      <c r="M35" s="19" t="s">
        <v>1088</v>
      </c>
      <c r="N35" s="17" t="s">
        <v>97</v>
      </c>
      <c r="O35" s="16" t="s">
        <v>56</v>
      </c>
    </row>
    <row r="36" customFormat="false" ht="23.85" hidden="false" customHeight="false" outlineLevel="0" collapsed="false">
      <c r="A36" s="23" t="s">
        <v>1089</v>
      </c>
      <c r="B36" s="24" t="s">
        <v>260</v>
      </c>
      <c r="C36" s="25" t="s">
        <v>261</v>
      </c>
      <c r="D36" s="25" t="str">
        <f aca="false">IFERROR(INDEX(Equipements!$B$6:$B$200,MATCH($B36,Equipements!$A$6:$A$200,0)),"?")</f>
        <v>Chauffage &amp; climatisation</v>
      </c>
      <c r="E36" s="26" t="s">
        <v>1090</v>
      </c>
      <c r="F36" s="24" t="s">
        <v>922</v>
      </c>
      <c r="G36" s="24" t="n">
        <v>3</v>
      </c>
      <c r="H36" s="25" t="s">
        <v>1091</v>
      </c>
      <c r="I36" s="25" t="s">
        <v>924</v>
      </c>
      <c r="J36" s="24" t="n">
        <v>10</v>
      </c>
      <c r="K36" s="25" t="s">
        <v>1092</v>
      </c>
      <c r="L36" s="25" t="s">
        <v>1093</v>
      </c>
      <c r="M36" s="25" t="s">
        <v>1094</v>
      </c>
      <c r="N36" s="24" t="s">
        <v>191</v>
      </c>
      <c r="O36" s="24" t="s">
        <v>56</v>
      </c>
    </row>
    <row r="37" customFormat="false" ht="23.85" hidden="false" customHeight="false" outlineLevel="0" collapsed="false">
      <c r="A37" s="13" t="s">
        <v>1095</v>
      </c>
      <c r="B37" s="27" t="s">
        <v>271</v>
      </c>
      <c r="C37" s="28" t="s">
        <v>272</v>
      </c>
      <c r="D37" s="28" t="str">
        <f aca="false">IFERROR(INDEX(Equipements!$B$6:$B$200,MATCH($B37,Equipements!$A$6:$A$200,0)),"?")</f>
        <v>Chauffage &amp; climatisation</v>
      </c>
      <c r="E37" s="12" t="s">
        <v>1096</v>
      </c>
      <c r="F37" s="27" t="s">
        <v>201</v>
      </c>
      <c r="G37" s="27" t="n">
        <v>12</v>
      </c>
      <c r="H37" s="28" t="s">
        <v>1020</v>
      </c>
      <c r="I37" s="28" t="s">
        <v>1033</v>
      </c>
      <c r="J37" s="27" t="n">
        <v>60</v>
      </c>
      <c r="K37" s="28" t="s">
        <v>111</v>
      </c>
      <c r="L37" s="28" t="s">
        <v>1097</v>
      </c>
      <c r="M37" s="28" t="s">
        <v>1098</v>
      </c>
      <c r="N37" s="27" t="s">
        <v>191</v>
      </c>
      <c r="O37" s="27" t="s">
        <v>58</v>
      </c>
    </row>
    <row r="38" customFormat="false" ht="23.85" hidden="false" customHeight="false" outlineLevel="0" collapsed="false">
      <c r="A38" s="23" t="s">
        <v>1099</v>
      </c>
      <c r="B38" s="24" t="s">
        <v>288</v>
      </c>
      <c r="C38" s="25" t="s">
        <v>289</v>
      </c>
      <c r="D38" s="25" t="str">
        <f aca="false">IFERROR(INDEX(Equipements!$B$6:$B$200,MATCH($B38,Equipements!$A$6:$A$200,0)),"?")</f>
        <v>Maison &amp; securite</v>
      </c>
      <c r="E38" s="26" t="s">
        <v>1100</v>
      </c>
      <c r="F38" s="24" t="s">
        <v>922</v>
      </c>
      <c r="G38" s="24" t="n">
        <v>1</v>
      </c>
      <c r="H38" s="25" t="s">
        <v>923</v>
      </c>
      <c r="I38" s="25" t="s">
        <v>924</v>
      </c>
      <c r="J38" s="24" t="n">
        <v>10</v>
      </c>
      <c r="K38" s="25" t="s">
        <v>1101</v>
      </c>
      <c r="L38" s="25" t="s">
        <v>1102</v>
      </c>
      <c r="M38" s="25" t="s">
        <v>1103</v>
      </c>
      <c r="N38" s="24" t="s">
        <v>191</v>
      </c>
      <c r="O38" s="24" t="s">
        <v>56</v>
      </c>
    </row>
    <row r="39" customFormat="false" ht="23.85" hidden="false" customHeight="false" outlineLevel="0" collapsed="false">
      <c r="A39" s="23" t="s">
        <v>1104</v>
      </c>
      <c r="B39" s="24" t="s">
        <v>288</v>
      </c>
      <c r="C39" s="25" t="s">
        <v>289</v>
      </c>
      <c r="D39" s="25" t="str">
        <f aca="false">IFERROR(INDEX(Equipements!$B$6:$B$200,MATCH($B39,Equipements!$A$6:$A$200,0)),"?")</f>
        <v>Maison &amp; securite</v>
      </c>
      <c r="E39" s="26" t="s">
        <v>1105</v>
      </c>
      <c r="F39" s="24" t="s">
        <v>922</v>
      </c>
      <c r="G39" s="24" t="n">
        <v>12</v>
      </c>
      <c r="H39" s="25" t="s">
        <v>1020</v>
      </c>
      <c r="I39" s="25" t="s">
        <v>924</v>
      </c>
      <c r="J39" s="24" t="n">
        <v>30</v>
      </c>
      <c r="K39" s="25" t="s">
        <v>1106</v>
      </c>
      <c r="L39" s="25" t="s">
        <v>1107</v>
      </c>
      <c r="M39" s="25" t="s">
        <v>1108</v>
      </c>
      <c r="N39" s="24" t="s">
        <v>191</v>
      </c>
      <c r="O39" s="24" t="s">
        <v>58</v>
      </c>
    </row>
    <row r="40" customFormat="false" ht="35.05" hidden="false" customHeight="false" outlineLevel="0" collapsed="false">
      <c r="A40" s="23" t="s">
        <v>1109</v>
      </c>
      <c r="B40" s="24" t="s">
        <v>316</v>
      </c>
      <c r="C40" s="25" t="s">
        <v>318</v>
      </c>
      <c r="D40" s="25" t="str">
        <f aca="false">IFERROR(INDEX(Equipements!$B$6:$B$200,MATCH($B40,Equipements!$A$6:$A$200,0)),"?")</f>
        <v>Chauffage &amp; climatisation</v>
      </c>
      <c r="E40" s="26" t="s">
        <v>1110</v>
      </c>
      <c r="F40" s="24" t="s">
        <v>922</v>
      </c>
      <c r="G40" s="24" t="n">
        <v>6</v>
      </c>
      <c r="H40" s="25" t="s">
        <v>709</v>
      </c>
      <c r="I40" s="25" t="s">
        <v>1014</v>
      </c>
      <c r="J40" s="24" t="n">
        <v>30</v>
      </c>
      <c r="K40" s="25" t="s">
        <v>1111</v>
      </c>
      <c r="L40" s="25" t="s">
        <v>1112</v>
      </c>
      <c r="M40" s="25" t="s">
        <v>1113</v>
      </c>
      <c r="N40" s="24" t="s">
        <v>191</v>
      </c>
      <c r="O40" s="24" t="s">
        <v>56</v>
      </c>
    </row>
    <row r="41" customFormat="false" ht="23.85" hidden="false" customHeight="false" outlineLevel="0" collapsed="false">
      <c r="A41" s="13" t="s">
        <v>1114</v>
      </c>
      <c r="B41" s="27" t="s">
        <v>316</v>
      </c>
      <c r="C41" s="28" t="s">
        <v>318</v>
      </c>
      <c r="D41" s="28" t="str">
        <f aca="false">IFERROR(INDEX(Equipements!$B$6:$B$200,MATCH($B41,Equipements!$A$6:$A$200,0)),"?")</f>
        <v>Chauffage &amp; climatisation</v>
      </c>
      <c r="E41" s="12" t="s">
        <v>1115</v>
      </c>
      <c r="F41" s="27" t="s">
        <v>201</v>
      </c>
      <c r="G41" s="27" t="n">
        <v>24</v>
      </c>
      <c r="H41" s="28" t="s">
        <v>169</v>
      </c>
      <c r="I41" s="28" t="s">
        <v>1116</v>
      </c>
      <c r="J41" s="27" t="n">
        <v>60</v>
      </c>
      <c r="K41" s="28" t="s">
        <v>1117</v>
      </c>
      <c r="L41" s="28" t="s">
        <v>1118</v>
      </c>
      <c r="M41" s="28" t="s">
        <v>1119</v>
      </c>
      <c r="N41" s="27" t="s">
        <v>191</v>
      </c>
      <c r="O41" s="27" t="s">
        <v>58</v>
      </c>
    </row>
    <row r="42" customFormat="false" ht="23.85" hidden="false" customHeight="false" outlineLevel="0" collapsed="false">
      <c r="A42" s="23" t="s">
        <v>1120</v>
      </c>
      <c r="B42" s="24" t="s">
        <v>326</v>
      </c>
      <c r="C42" s="25" t="s">
        <v>327</v>
      </c>
      <c r="D42" s="25" t="str">
        <f aca="false">IFERROR(INDEX(Equipements!$B$6:$B$200,MATCH($B42,Equipements!$A$6:$A$200,0)),"?")</f>
        <v>Chauffage &amp; climatisation</v>
      </c>
      <c r="E42" s="26" t="s">
        <v>1121</v>
      </c>
      <c r="F42" s="24" t="s">
        <v>922</v>
      </c>
      <c r="G42" s="24" t="n">
        <v>4</v>
      </c>
      <c r="H42" s="25" t="s">
        <v>1122</v>
      </c>
      <c r="I42" s="25" t="s">
        <v>924</v>
      </c>
      <c r="J42" s="24" t="n">
        <v>20</v>
      </c>
      <c r="K42" s="25" t="s">
        <v>1123</v>
      </c>
      <c r="L42" s="25" t="s">
        <v>1124</v>
      </c>
      <c r="M42" s="25" t="s">
        <v>1125</v>
      </c>
      <c r="N42" s="24" t="s">
        <v>191</v>
      </c>
      <c r="O42" s="24" t="s">
        <v>56</v>
      </c>
    </row>
    <row r="43" customFormat="false" ht="23.85" hidden="false" customHeight="false" outlineLevel="0" collapsed="false">
      <c r="A43" s="23" t="s">
        <v>1126</v>
      </c>
      <c r="B43" s="24" t="s">
        <v>326</v>
      </c>
      <c r="C43" s="25" t="s">
        <v>327</v>
      </c>
      <c r="D43" s="25" t="str">
        <f aca="false">IFERROR(INDEX(Equipements!$B$6:$B$200,MATCH($B43,Equipements!$A$6:$A$200,0)),"?")</f>
        <v>Chauffage &amp; climatisation</v>
      </c>
      <c r="E43" s="26" t="s">
        <v>1127</v>
      </c>
      <c r="F43" s="24" t="s">
        <v>922</v>
      </c>
      <c r="G43" s="24" t="n">
        <v>12</v>
      </c>
      <c r="H43" s="25" t="s">
        <v>1020</v>
      </c>
      <c r="I43" s="25" t="s">
        <v>1128</v>
      </c>
      <c r="J43" s="24" t="n">
        <v>45</v>
      </c>
      <c r="K43" s="25" t="s">
        <v>1028</v>
      </c>
      <c r="L43" s="25" t="s">
        <v>1129</v>
      </c>
      <c r="M43" s="25" t="s">
        <v>1130</v>
      </c>
      <c r="N43" s="24" t="s">
        <v>191</v>
      </c>
      <c r="O43" s="24" t="s">
        <v>58</v>
      </c>
    </row>
    <row r="44" customFormat="false" ht="23.85" hidden="false" customHeight="false" outlineLevel="0" collapsed="false">
      <c r="A44" s="23" t="s">
        <v>1131</v>
      </c>
      <c r="B44" s="24" t="s">
        <v>334</v>
      </c>
      <c r="C44" s="25" t="s">
        <v>335</v>
      </c>
      <c r="D44" s="25" t="str">
        <f aca="false">IFERROR(INDEX(Equipements!$B$6:$B$200,MATCH($B44,Equipements!$A$6:$A$200,0)),"?")</f>
        <v>Cuisine</v>
      </c>
      <c r="E44" s="26" t="s">
        <v>1132</v>
      </c>
      <c r="F44" s="24" t="s">
        <v>922</v>
      </c>
      <c r="G44" s="24" t="n">
        <v>1</v>
      </c>
      <c r="H44" s="25" t="s">
        <v>923</v>
      </c>
      <c r="I44" s="25" t="s">
        <v>924</v>
      </c>
      <c r="J44" s="24" t="n">
        <v>15</v>
      </c>
      <c r="K44" s="25" t="s">
        <v>1133</v>
      </c>
      <c r="L44" s="25" t="s">
        <v>1134</v>
      </c>
      <c r="M44" s="25" t="s">
        <v>1135</v>
      </c>
      <c r="N44" s="24" t="s">
        <v>191</v>
      </c>
      <c r="O44" s="24" t="s">
        <v>56</v>
      </c>
    </row>
    <row r="45" customFormat="false" ht="23.85" hidden="false" customHeight="false" outlineLevel="0" collapsed="false">
      <c r="A45" s="23" t="s">
        <v>1136</v>
      </c>
      <c r="B45" s="24" t="s">
        <v>334</v>
      </c>
      <c r="C45" s="25" t="s">
        <v>335</v>
      </c>
      <c r="D45" s="25" t="str">
        <f aca="false">IFERROR(INDEX(Equipements!$B$6:$B$200,MATCH($B45,Equipements!$A$6:$A$200,0)),"?")</f>
        <v>Cuisine</v>
      </c>
      <c r="E45" s="26" t="s">
        <v>1137</v>
      </c>
      <c r="F45" s="24" t="s">
        <v>922</v>
      </c>
      <c r="G45" s="24" t="n">
        <v>6</v>
      </c>
      <c r="H45" s="25" t="s">
        <v>1138</v>
      </c>
      <c r="I45" s="25" t="s">
        <v>924</v>
      </c>
      <c r="J45" s="24" t="n">
        <v>10</v>
      </c>
      <c r="K45" s="25" t="s">
        <v>1139</v>
      </c>
      <c r="L45" s="25" t="s">
        <v>1140</v>
      </c>
      <c r="M45" s="25" t="s">
        <v>1141</v>
      </c>
      <c r="N45" s="24" t="s">
        <v>191</v>
      </c>
      <c r="O45" s="24" t="s">
        <v>56</v>
      </c>
    </row>
    <row r="46" customFormat="false" ht="23.85" hidden="false" customHeight="false" outlineLevel="0" collapsed="false">
      <c r="A46" s="23" t="s">
        <v>1142</v>
      </c>
      <c r="B46" s="24" t="s">
        <v>341</v>
      </c>
      <c r="C46" s="25" t="s">
        <v>342</v>
      </c>
      <c r="D46" s="25" t="str">
        <f aca="false">IFERROR(INDEX(Equipements!$B$6:$B$200,MATCH($B46,Equipements!$A$6:$A$200,0)),"?")</f>
        <v>Chauffage &amp; climatisation</v>
      </c>
      <c r="E46" s="26" t="s">
        <v>1143</v>
      </c>
      <c r="F46" s="24" t="s">
        <v>922</v>
      </c>
      <c r="G46" s="24" t="n">
        <v>6</v>
      </c>
      <c r="H46" s="25" t="s">
        <v>709</v>
      </c>
      <c r="I46" s="25" t="s">
        <v>1014</v>
      </c>
      <c r="J46" s="24" t="n">
        <v>15</v>
      </c>
      <c r="K46" s="25" t="s">
        <v>1144</v>
      </c>
      <c r="L46" s="25" t="s">
        <v>1145</v>
      </c>
      <c r="M46" s="25" t="s">
        <v>1146</v>
      </c>
      <c r="N46" s="24" t="s">
        <v>191</v>
      </c>
      <c r="O46" s="24" t="s">
        <v>56</v>
      </c>
    </row>
    <row r="47" customFormat="false" ht="23.85" hidden="false" customHeight="false" outlineLevel="0" collapsed="false">
      <c r="A47" s="23" t="s">
        <v>1147</v>
      </c>
      <c r="B47" s="24" t="s">
        <v>352</v>
      </c>
      <c r="C47" s="25" t="s">
        <v>354</v>
      </c>
      <c r="D47" s="25" t="str">
        <f aca="false">IFERROR(INDEX(Equipements!$B$6:$B$200,MATCH($B47,Equipements!$A$6:$A$200,0)),"?")</f>
        <v>Cuisine</v>
      </c>
      <c r="E47" s="26" t="s">
        <v>1148</v>
      </c>
      <c r="F47" s="24" t="s">
        <v>922</v>
      </c>
      <c r="G47" s="24" t="n">
        <v>6</v>
      </c>
      <c r="H47" s="25" t="s">
        <v>709</v>
      </c>
      <c r="I47" s="25" t="s">
        <v>1014</v>
      </c>
      <c r="J47" s="24" t="n">
        <v>15</v>
      </c>
      <c r="K47" s="25" t="s">
        <v>1149</v>
      </c>
      <c r="L47" s="25" t="s">
        <v>1150</v>
      </c>
      <c r="M47" s="25" t="s">
        <v>1151</v>
      </c>
      <c r="N47" s="24" t="s">
        <v>191</v>
      </c>
      <c r="O47" s="24" t="s">
        <v>56</v>
      </c>
    </row>
    <row r="48" customFormat="false" ht="23.85" hidden="false" customHeight="false" outlineLevel="0" collapsed="false">
      <c r="A48" s="23" t="s">
        <v>1152</v>
      </c>
      <c r="B48" s="24" t="s">
        <v>352</v>
      </c>
      <c r="C48" s="25" t="s">
        <v>354</v>
      </c>
      <c r="D48" s="25" t="str">
        <f aca="false">IFERROR(INDEX(Equipements!$B$6:$B$200,MATCH($B48,Equipements!$A$6:$A$200,0)),"?")</f>
        <v>Cuisine</v>
      </c>
      <c r="E48" s="26" t="s">
        <v>1153</v>
      </c>
      <c r="F48" s="24" t="s">
        <v>922</v>
      </c>
      <c r="G48" s="24" t="n">
        <v>6</v>
      </c>
      <c r="H48" s="25" t="s">
        <v>709</v>
      </c>
      <c r="I48" s="25" t="s">
        <v>1014</v>
      </c>
      <c r="J48" s="24" t="n">
        <v>10</v>
      </c>
      <c r="K48" s="25" t="s">
        <v>1154</v>
      </c>
      <c r="L48" s="25" t="s">
        <v>1155</v>
      </c>
      <c r="M48" s="25" t="s">
        <v>1156</v>
      </c>
      <c r="N48" s="24" t="s">
        <v>191</v>
      </c>
      <c r="O48" s="24" t="s">
        <v>56</v>
      </c>
    </row>
    <row r="49" customFormat="false" ht="23.85" hidden="false" customHeight="false" outlineLevel="0" collapsed="false">
      <c r="A49" s="23" t="s">
        <v>1157</v>
      </c>
      <c r="B49" s="24" t="s">
        <v>352</v>
      </c>
      <c r="C49" s="25" t="s">
        <v>354</v>
      </c>
      <c r="D49" s="25" t="str">
        <f aca="false">IFERROR(INDEX(Equipements!$B$6:$B$200,MATCH($B49,Equipements!$A$6:$A$200,0)),"?")</f>
        <v>Cuisine</v>
      </c>
      <c r="E49" s="26" t="s">
        <v>1158</v>
      </c>
      <c r="F49" s="24" t="s">
        <v>922</v>
      </c>
      <c r="G49" s="24" t="n">
        <v>6</v>
      </c>
      <c r="H49" s="25" t="s">
        <v>709</v>
      </c>
      <c r="I49" s="25" t="s">
        <v>1014</v>
      </c>
      <c r="J49" s="24" t="n">
        <v>10</v>
      </c>
      <c r="K49" s="25" t="s">
        <v>1159</v>
      </c>
      <c r="L49" s="25" t="s">
        <v>1160</v>
      </c>
      <c r="M49" s="25" t="s">
        <v>1161</v>
      </c>
      <c r="N49" s="24" t="s">
        <v>191</v>
      </c>
      <c r="O49" s="24" t="s">
        <v>56</v>
      </c>
    </row>
    <row r="50" customFormat="false" ht="35.05" hidden="false" customHeight="false" outlineLevel="0" collapsed="false">
      <c r="A50" s="23" t="s">
        <v>1162</v>
      </c>
      <c r="B50" s="24" t="s">
        <v>360</v>
      </c>
      <c r="C50" s="25" t="s">
        <v>361</v>
      </c>
      <c r="D50" s="25" t="str">
        <f aca="false">IFERROR(INDEX(Equipements!$B$6:$B$200,MATCH($B50,Equipements!$A$6:$A$200,0)),"?")</f>
        <v>Cuisine</v>
      </c>
      <c r="E50" s="26" t="s">
        <v>1163</v>
      </c>
      <c r="F50" s="24" t="s">
        <v>922</v>
      </c>
      <c r="G50" s="24" t="n">
        <v>12</v>
      </c>
      <c r="H50" s="25" t="s">
        <v>1164</v>
      </c>
      <c r="I50" s="25" t="s">
        <v>1165</v>
      </c>
      <c r="J50" s="24" t="n">
        <v>180</v>
      </c>
      <c r="K50" s="25" t="s">
        <v>1166</v>
      </c>
      <c r="L50" s="25" t="s">
        <v>1167</v>
      </c>
      <c r="M50" s="25" t="s">
        <v>1168</v>
      </c>
      <c r="N50" s="24" t="s">
        <v>191</v>
      </c>
      <c r="O50" s="24" t="s">
        <v>56</v>
      </c>
    </row>
    <row r="51" customFormat="false" ht="23.85" hidden="false" customHeight="false" outlineLevel="0" collapsed="false">
      <c r="A51" s="23" t="s">
        <v>1169</v>
      </c>
      <c r="B51" s="24" t="s">
        <v>367</v>
      </c>
      <c r="C51" s="25" t="s">
        <v>368</v>
      </c>
      <c r="D51" s="25" t="str">
        <f aca="false">IFERROR(INDEX(Equipements!$B$6:$B$200,MATCH($B51,Equipements!$A$6:$A$200,0)),"?")</f>
        <v>Cuisine</v>
      </c>
      <c r="E51" s="26" t="s">
        <v>1170</v>
      </c>
      <c r="F51" s="24" t="s">
        <v>922</v>
      </c>
      <c r="G51" s="24" t="n">
        <v>6</v>
      </c>
      <c r="H51" s="25" t="s">
        <v>709</v>
      </c>
      <c r="I51" s="25" t="s">
        <v>924</v>
      </c>
      <c r="J51" s="24" t="n">
        <v>10</v>
      </c>
      <c r="K51" s="25" t="s">
        <v>1171</v>
      </c>
      <c r="L51" s="25" t="s">
        <v>1172</v>
      </c>
      <c r="M51" s="25" t="s">
        <v>1173</v>
      </c>
      <c r="N51" s="24" t="s">
        <v>191</v>
      </c>
      <c r="O51" s="24" t="s">
        <v>56</v>
      </c>
    </row>
    <row r="52" customFormat="false" ht="23.85" hidden="false" customHeight="false" outlineLevel="0" collapsed="false">
      <c r="A52" s="23" t="s">
        <v>1174</v>
      </c>
      <c r="B52" s="24" t="s">
        <v>382</v>
      </c>
      <c r="C52" s="25" t="s">
        <v>384</v>
      </c>
      <c r="D52" s="25" t="str">
        <f aca="false">IFERROR(INDEX(Equipements!$B$6:$B$200,MATCH($B52,Equipements!$A$6:$A$200,0)),"?")</f>
        <v>Buanderie</v>
      </c>
      <c r="E52" s="26" t="s">
        <v>1175</v>
      </c>
      <c r="F52" s="24" t="s">
        <v>922</v>
      </c>
      <c r="G52" s="24" t="n">
        <v>3</v>
      </c>
      <c r="H52" s="25" t="s">
        <v>1091</v>
      </c>
      <c r="I52" s="25" t="s">
        <v>924</v>
      </c>
      <c r="J52" s="24" t="n">
        <v>15</v>
      </c>
      <c r="K52" s="25" t="s">
        <v>1176</v>
      </c>
      <c r="L52" s="25" t="s">
        <v>1177</v>
      </c>
      <c r="M52" s="25" t="s">
        <v>1178</v>
      </c>
      <c r="N52" s="24" t="s">
        <v>191</v>
      </c>
      <c r="O52" s="24" t="s">
        <v>56</v>
      </c>
    </row>
    <row r="53" customFormat="false" ht="23.85" hidden="false" customHeight="false" outlineLevel="0" collapsed="false">
      <c r="A53" s="23" t="s">
        <v>1179</v>
      </c>
      <c r="B53" s="24" t="s">
        <v>382</v>
      </c>
      <c r="C53" s="25" t="s">
        <v>384</v>
      </c>
      <c r="D53" s="25" t="str">
        <f aca="false">IFERROR(INDEX(Equipements!$B$6:$B$200,MATCH($B53,Equipements!$A$6:$A$200,0)),"?")</f>
        <v>Buanderie</v>
      </c>
      <c r="E53" s="26" t="s">
        <v>1180</v>
      </c>
      <c r="F53" s="24" t="s">
        <v>922</v>
      </c>
      <c r="G53" s="24" t="n">
        <v>1</v>
      </c>
      <c r="H53" s="25" t="s">
        <v>923</v>
      </c>
      <c r="I53" s="25" t="s">
        <v>924</v>
      </c>
      <c r="J53" s="24" t="n">
        <v>10</v>
      </c>
      <c r="K53" s="25" t="s">
        <v>1181</v>
      </c>
      <c r="L53" s="25" t="s">
        <v>1182</v>
      </c>
      <c r="M53" s="25" t="s">
        <v>1183</v>
      </c>
      <c r="N53" s="24" t="s">
        <v>191</v>
      </c>
      <c r="O53" s="24" t="s">
        <v>56</v>
      </c>
    </row>
    <row r="54" customFormat="false" ht="23.85" hidden="false" customHeight="false" outlineLevel="0" collapsed="false">
      <c r="A54" s="23" t="s">
        <v>1184</v>
      </c>
      <c r="B54" s="24" t="s">
        <v>382</v>
      </c>
      <c r="C54" s="25" t="s">
        <v>384</v>
      </c>
      <c r="D54" s="25" t="str">
        <f aca="false">IFERROR(INDEX(Equipements!$B$6:$B$200,MATCH($B54,Equipements!$A$6:$A$200,0)),"?")</f>
        <v>Buanderie</v>
      </c>
      <c r="E54" s="26" t="s">
        <v>1185</v>
      </c>
      <c r="F54" s="24" t="s">
        <v>922</v>
      </c>
      <c r="G54" s="24" t="n">
        <v>6</v>
      </c>
      <c r="H54" s="25" t="s">
        <v>709</v>
      </c>
      <c r="I54" s="25" t="s">
        <v>924</v>
      </c>
      <c r="J54" s="24" t="n">
        <v>120</v>
      </c>
      <c r="K54" s="25" t="s">
        <v>1186</v>
      </c>
      <c r="L54" s="25" t="s">
        <v>1187</v>
      </c>
      <c r="M54" s="25" t="s">
        <v>1188</v>
      </c>
      <c r="N54" s="24" t="s">
        <v>191</v>
      </c>
      <c r="O54" s="24" t="s">
        <v>56</v>
      </c>
    </row>
    <row r="55" customFormat="false" ht="23.85" hidden="false" customHeight="false" outlineLevel="0" collapsed="false">
      <c r="A55" s="23" t="s">
        <v>1189</v>
      </c>
      <c r="B55" s="24" t="s">
        <v>382</v>
      </c>
      <c r="C55" s="25" t="s">
        <v>384</v>
      </c>
      <c r="D55" s="25" t="str">
        <f aca="false">IFERROR(INDEX(Equipements!$B$6:$B$200,MATCH($B55,Equipements!$A$6:$A$200,0)),"?")</f>
        <v>Buanderie</v>
      </c>
      <c r="E55" s="26" t="s">
        <v>1190</v>
      </c>
      <c r="F55" s="24" t="s">
        <v>922</v>
      </c>
      <c r="G55" s="24" t="n">
        <v>60</v>
      </c>
      <c r="H55" s="25" t="s">
        <v>1191</v>
      </c>
      <c r="I55" s="25" t="s">
        <v>924</v>
      </c>
      <c r="J55" s="24" t="n">
        <v>20</v>
      </c>
      <c r="K55" s="25" t="s">
        <v>1192</v>
      </c>
      <c r="L55" s="25" t="s">
        <v>1193</v>
      </c>
      <c r="M55" s="25" t="s">
        <v>1194</v>
      </c>
      <c r="N55" s="24" t="s">
        <v>191</v>
      </c>
      <c r="O55" s="24" t="s">
        <v>56</v>
      </c>
    </row>
    <row r="56" customFormat="false" ht="23.85" hidden="false" customHeight="false" outlineLevel="0" collapsed="false">
      <c r="A56" s="23" t="s">
        <v>1195</v>
      </c>
      <c r="B56" s="24" t="s">
        <v>391</v>
      </c>
      <c r="C56" s="25" t="s">
        <v>392</v>
      </c>
      <c r="D56" s="25" t="str">
        <f aca="false">IFERROR(INDEX(Equipements!$B$6:$B$200,MATCH($B56,Equipements!$A$6:$A$200,0)),"?")</f>
        <v>Buanderie</v>
      </c>
      <c r="E56" s="26" t="s">
        <v>1196</v>
      </c>
      <c r="F56" s="24" t="s">
        <v>922</v>
      </c>
      <c r="G56" s="24" t="n">
        <v>0.03</v>
      </c>
      <c r="H56" s="25" t="s">
        <v>1197</v>
      </c>
      <c r="I56" s="25" t="s">
        <v>924</v>
      </c>
      <c r="J56" s="24" t="n">
        <v>2</v>
      </c>
      <c r="K56" s="25" t="s">
        <v>1022</v>
      </c>
      <c r="L56" s="25" t="s">
        <v>1198</v>
      </c>
      <c r="M56" s="25" t="s">
        <v>1199</v>
      </c>
      <c r="N56" s="24" t="s">
        <v>191</v>
      </c>
      <c r="O56" s="24" t="s">
        <v>56</v>
      </c>
    </row>
    <row r="57" customFormat="false" ht="23.85" hidden="false" customHeight="false" outlineLevel="0" collapsed="false">
      <c r="A57" s="23" t="s">
        <v>1200</v>
      </c>
      <c r="B57" s="24" t="s">
        <v>391</v>
      </c>
      <c r="C57" s="25" t="s">
        <v>392</v>
      </c>
      <c r="D57" s="25" t="str">
        <f aca="false">IFERROR(INDEX(Equipements!$B$6:$B$200,MATCH($B57,Equipements!$A$6:$A$200,0)),"?")</f>
        <v>Buanderie</v>
      </c>
      <c r="E57" s="26" t="s">
        <v>1201</v>
      </c>
      <c r="F57" s="24" t="s">
        <v>922</v>
      </c>
      <c r="G57" s="24" t="n">
        <v>1</v>
      </c>
      <c r="H57" s="25" t="s">
        <v>923</v>
      </c>
      <c r="I57" s="25" t="s">
        <v>924</v>
      </c>
      <c r="J57" s="24" t="n">
        <v>20</v>
      </c>
      <c r="K57" s="25" t="s">
        <v>1202</v>
      </c>
      <c r="L57" s="25" t="s">
        <v>1203</v>
      </c>
      <c r="M57" s="25" t="s">
        <v>1204</v>
      </c>
      <c r="N57" s="24" t="s">
        <v>191</v>
      </c>
      <c r="O57" s="24" t="s">
        <v>56</v>
      </c>
    </row>
    <row r="58" customFormat="false" ht="23.85" hidden="false" customHeight="false" outlineLevel="0" collapsed="false">
      <c r="A58" s="23" t="s">
        <v>1205</v>
      </c>
      <c r="B58" s="24" t="s">
        <v>391</v>
      </c>
      <c r="C58" s="25" t="s">
        <v>392</v>
      </c>
      <c r="D58" s="25" t="str">
        <f aca="false">IFERROR(INDEX(Equipements!$B$6:$B$200,MATCH($B58,Equipements!$A$6:$A$200,0)),"?")</f>
        <v>Buanderie</v>
      </c>
      <c r="E58" s="26" t="s">
        <v>1206</v>
      </c>
      <c r="F58" s="24" t="s">
        <v>922</v>
      </c>
      <c r="G58" s="24" t="n">
        <v>3</v>
      </c>
      <c r="H58" s="25" t="s">
        <v>1207</v>
      </c>
      <c r="I58" s="25" t="s">
        <v>924</v>
      </c>
      <c r="J58" s="24" t="n">
        <v>15</v>
      </c>
      <c r="K58" s="25" t="s">
        <v>1092</v>
      </c>
      <c r="L58" s="25" t="s">
        <v>1208</v>
      </c>
      <c r="M58" s="25" t="s">
        <v>1209</v>
      </c>
      <c r="N58" s="24" t="s">
        <v>191</v>
      </c>
      <c r="O58" s="24" t="s">
        <v>56</v>
      </c>
    </row>
    <row r="59" customFormat="false" ht="23.85" hidden="false" customHeight="false" outlineLevel="0" collapsed="false">
      <c r="A59" s="23" t="s">
        <v>1210</v>
      </c>
      <c r="B59" s="24" t="s">
        <v>397</v>
      </c>
      <c r="C59" s="25" t="s">
        <v>398</v>
      </c>
      <c r="D59" s="25" t="str">
        <f aca="false">IFERROR(INDEX(Equipements!$B$6:$B$200,MATCH($B59,Equipements!$A$6:$A$200,0)),"?")</f>
        <v>Cuisine</v>
      </c>
      <c r="E59" s="26" t="s">
        <v>1211</v>
      </c>
      <c r="F59" s="24" t="s">
        <v>922</v>
      </c>
      <c r="G59" s="24" t="n">
        <v>1</v>
      </c>
      <c r="H59" s="25" t="s">
        <v>923</v>
      </c>
      <c r="I59" s="25" t="s">
        <v>924</v>
      </c>
      <c r="J59" s="24" t="n">
        <v>10</v>
      </c>
      <c r="K59" s="25" t="s">
        <v>1212</v>
      </c>
      <c r="L59" s="25" t="s">
        <v>1213</v>
      </c>
      <c r="M59" s="25" t="s">
        <v>1214</v>
      </c>
      <c r="N59" s="24" t="s">
        <v>191</v>
      </c>
      <c r="O59" s="24" t="s">
        <v>56</v>
      </c>
    </row>
    <row r="60" customFormat="false" ht="23.85" hidden="false" customHeight="false" outlineLevel="0" collapsed="false">
      <c r="A60" s="23" t="s">
        <v>1215</v>
      </c>
      <c r="B60" s="24" t="s">
        <v>397</v>
      </c>
      <c r="C60" s="25" t="s">
        <v>398</v>
      </c>
      <c r="D60" s="25" t="str">
        <f aca="false">IFERROR(INDEX(Equipements!$B$6:$B$200,MATCH($B60,Equipements!$A$6:$A$200,0)),"?")</f>
        <v>Cuisine</v>
      </c>
      <c r="E60" s="26" t="s">
        <v>1216</v>
      </c>
      <c r="F60" s="24" t="s">
        <v>922</v>
      </c>
      <c r="G60" s="24" t="n">
        <v>3</v>
      </c>
      <c r="H60" s="25" t="s">
        <v>1091</v>
      </c>
      <c r="I60" s="25" t="s">
        <v>924</v>
      </c>
      <c r="J60" s="24" t="n">
        <v>15</v>
      </c>
      <c r="K60" s="25" t="s">
        <v>1217</v>
      </c>
      <c r="L60" s="25" t="s">
        <v>1218</v>
      </c>
      <c r="M60" s="25" t="s">
        <v>1219</v>
      </c>
      <c r="N60" s="24" t="s">
        <v>191</v>
      </c>
      <c r="O60" s="24" t="s">
        <v>56</v>
      </c>
    </row>
    <row r="61" customFormat="false" ht="23.85" hidden="false" customHeight="false" outlineLevel="0" collapsed="false">
      <c r="A61" s="23" t="s">
        <v>1220</v>
      </c>
      <c r="B61" s="24" t="s">
        <v>397</v>
      </c>
      <c r="C61" s="25" t="s">
        <v>398</v>
      </c>
      <c r="D61" s="25" t="str">
        <f aca="false">IFERROR(INDEX(Equipements!$B$6:$B$200,MATCH($B61,Equipements!$A$6:$A$200,0)),"?")</f>
        <v>Cuisine</v>
      </c>
      <c r="E61" s="26" t="s">
        <v>1221</v>
      </c>
      <c r="F61" s="24" t="s">
        <v>922</v>
      </c>
      <c r="G61" s="24" t="n">
        <v>2</v>
      </c>
      <c r="H61" s="25" t="s">
        <v>1222</v>
      </c>
      <c r="I61" s="25" t="s">
        <v>924</v>
      </c>
      <c r="J61" s="24" t="n">
        <v>5</v>
      </c>
      <c r="K61" s="25" t="s">
        <v>1223</v>
      </c>
      <c r="L61" s="25" t="s">
        <v>1224</v>
      </c>
      <c r="M61" s="25" t="s">
        <v>1225</v>
      </c>
      <c r="N61" s="24" t="s">
        <v>191</v>
      </c>
      <c r="O61" s="24" t="s">
        <v>56</v>
      </c>
    </row>
    <row r="62" customFormat="false" ht="23.85" hidden="false" customHeight="false" outlineLevel="0" collapsed="false">
      <c r="A62" s="23" t="s">
        <v>1226</v>
      </c>
      <c r="B62" s="24" t="s">
        <v>397</v>
      </c>
      <c r="C62" s="25" t="s">
        <v>398</v>
      </c>
      <c r="D62" s="25" t="str">
        <f aca="false">IFERROR(INDEX(Equipements!$B$6:$B$200,MATCH($B62,Equipements!$A$6:$A$200,0)),"?")</f>
        <v>Cuisine</v>
      </c>
      <c r="E62" s="26" t="s">
        <v>1185</v>
      </c>
      <c r="F62" s="24" t="s">
        <v>922</v>
      </c>
      <c r="G62" s="24" t="n">
        <v>6</v>
      </c>
      <c r="H62" s="25" t="s">
        <v>709</v>
      </c>
      <c r="I62" s="25" t="s">
        <v>924</v>
      </c>
      <c r="J62" s="24" t="n">
        <v>90</v>
      </c>
      <c r="K62" s="25" t="s">
        <v>1227</v>
      </c>
      <c r="L62" s="25" t="s">
        <v>1228</v>
      </c>
      <c r="M62" s="25" t="s">
        <v>1229</v>
      </c>
      <c r="N62" s="24" t="s">
        <v>191</v>
      </c>
      <c r="O62" s="24" t="s">
        <v>56</v>
      </c>
    </row>
    <row r="63" customFormat="false" ht="23.85" hidden="false" customHeight="false" outlineLevel="0" collapsed="false">
      <c r="A63" s="23" t="s">
        <v>1230</v>
      </c>
      <c r="B63" s="24" t="s">
        <v>409</v>
      </c>
      <c r="C63" s="25" t="s">
        <v>411</v>
      </c>
      <c r="D63" s="25" t="str">
        <f aca="false">IFERROR(INDEX(Equipements!$B$6:$B$200,MATCH($B63,Equipements!$A$6:$A$200,0)),"?")</f>
        <v>Cuisine</v>
      </c>
      <c r="E63" s="26" t="s">
        <v>1231</v>
      </c>
      <c r="F63" s="24" t="s">
        <v>922</v>
      </c>
      <c r="G63" s="24" t="n">
        <v>3</v>
      </c>
      <c r="H63" s="25" t="s">
        <v>1091</v>
      </c>
      <c r="I63" s="25" t="s">
        <v>924</v>
      </c>
      <c r="J63" s="24" t="n">
        <v>150</v>
      </c>
      <c r="K63" s="25" t="s">
        <v>1232</v>
      </c>
      <c r="L63" s="25" t="s">
        <v>1233</v>
      </c>
      <c r="M63" s="25" t="s">
        <v>1234</v>
      </c>
      <c r="N63" s="24" t="s">
        <v>191</v>
      </c>
      <c r="O63" s="24" t="s">
        <v>56</v>
      </c>
    </row>
    <row r="64" customFormat="false" ht="23.85" hidden="false" customHeight="false" outlineLevel="0" collapsed="false">
      <c r="A64" s="23" t="s">
        <v>1235</v>
      </c>
      <c r="B64" s="24" t="s">
        <v>409</v>
      </c>
      <c r="C64" s="25" t="s">
        <v>411</v>
      </c>
      <c r="D64" s="25" t="str">
        <f aca="false">IFERROR(INDEX(Equipements!$B$6:$B$200,MATCH($B64,Equipements!$A$6:$A$200,0)),"?")</f>
        <v>Cuisine</v>
      </c>
      <c r="E64" s="26" t="s">
        <v>1236</v>
      </c>
      <c r="F64" s="24" t="s">
        <v>922</v>
      </c>
      <c r="G64" s="24" t="n">
        <v>12</v>
      </c>
      <c r="H64" s="25" t="s">
        <v>1020</v>
      </c>
      <c r="I64" s="25" t="s">
        <v>924</v>
      </c>
      <c r="J64" s="24" t="n">
        <v>5</v>
      </c>
      <c r="K64" s="25" t="s">
        <v>1022</v>
      </c>
      <c r="L64" s="25" t="s">
        <v>1237</v>
      </c>
      <c r="M64" s="25" t="s">
        <v>1238</v>
      </c>
      <c r="N64" s="24" t="s">
        <v>191</v>
      </c>
      <c r="O64" s="24" t="s">
        <v>56</v>
      </c>
    </row>
    <row r="65" customFormat="false" ht="35.05" hidden="false" customHeight="false" outlineLevel="0" collapsed="false">
      <c r="A65" s="17" t="s">
        <v>1239</v>
      </c>
      <c r="B65" s="16" t="s">
        <v>429</v>
      </c>
      <c r="C65" s="19" t="s">
        <v>430</v>
      </c>
      <c r="D65" s="19" t="str">
        <f aca="false">IFERROR(INDEX(Equipements!$B$6:$B$200,MATCH($B65,Equipements!$A$6:$A$200,0)),"?")</f>
        <v>Cuisine</v>
      </c>
      <c r="E65" s="18" t="s">
        <v>1240</v>
      </c>
      <c r="F65" s="16" t="s">
        <v>922</v>
      </c>
      <c r="G65" s="16" t="n">
        <v>12</v>
      </c>
      <c r="H65" s="19" t="s">
        <v>1020</v>
      </c>
      <c r="I65" s="19" t="s">
        <v>924</v>
      </c>
      <c r="J65" s="16" t="n">
        <v>3</v>
      </c>
      <c r="K65" s="19" t="s">
        <v>1022</v>
      </c>
      <c r="L65" s="19" t="s">
        <v>1241</v>
      </c>
      <c r="M65" s="19" t="s">
        <v>1242</v>
      </c>
      <c r="N65" s="17" t="s">
        <v>97</v>
      </c>
      <c r="O65" s="16" t="s">
        <v>56</v>
      </c>
    </row>
    <row r="66" customFormat="false" ht="23.85" hidden="false" customHeight="false" outlineLevel="0" collapsed="false">
      <c r="A66" s="23" t="s">
        <v>1243</v>
      </c>
      <c r="B66" s="24" t="s">
        <v>422</v>
      </c>
      <c r="C66" s="25" t="s">
        <v>423</v>
      </c>
      <c r="D66" s="25" t="str">
        <f aca="false">IFERROR(INDEX(Equipements!$B$6:$B$200,MATCH($B66,Equipements!$A$6:$A$200,0)),"?")</f>
        <v>Cuisine</v>
      </c>
      <c r="E66" s="26" t="s">
        <v>1244</v>
      </c>
      <c r="F66" s="24" t="s">
        <v>922</v>
      </c>
      <c r="G66" s="24" t="n">
        <v>12</v>
      </c>
      <c r="H66" s="25" t="s">
        <v>1020</v>
      </c>
      <c r="I66" s="25" t="s">
        <v>924</v>
      </c>
      <c r="J66" s="24" t="n">
        <v>30</v>
      </c>
      <c r="K66" s="25" t="s">
        <v>1245</v>
      </c>
      <c r="L66" s="25" t="s">
        <v>1246</v>
      </c>
      <c r="M66" s="25" t="s">
        <v>1247</v>
      </c>
      <c r="N66" s="24" t="s">
        <v>191</v>
      </c>
      <c r="O66" s="24" t="s">
        <v>56</v>
      </c>
    </row>
    <row r="67" customFormat="false" ht="23.85" hidden="false" customHeight="false" outlineLevel="0" collapsed="false">
      <c r="A67" s="23" t="s">
        <v>1248</v>
      </c>
      <c r="B67" s="24" t="s">
        <v>446</v>
      </c>
      <c r="C67" s="25" t="s">
        <v>447</v>
      </c>
      <c r="D67" s="25" t="str">
        <f aca="false">IFERROR(INDEX(Equipements!$B$6:$B$200,MATCH($B67,Equipements!$A$6:$A$200,0)),"?")</f>
        <v>Cuisine</v>
      </c>
      <c r="E67" s="26" t="s">
        <v>1249</v>
      </c>
      <c r="F67" s="24" t="s">
        <v>922</v>
      </c>
      <c r="G67" s="24" t="n">
        <v>2</v>
      </c>
      <c r="H67" s="25" t="s">
        <v>1250</v>
      </c>
      <c r="I67" s="25" t="s">
        <v>924</v>
      </c>
      <c r="J67" s="24" t="n">
        <v>30</v>
      </c>
      <c r="K67" s="25" t="s">
        <v>1251</v>
      </c>
      <c r="L67" s="25" t="s">
        <v>1252</v>
      </c>
      <c r="M67" s="25" t="s">
        <v>1253</v>
      </c>
      <c r="N67" s="24" t="s">
        <v>191</v>
      </c>
      <c r="O67" s="24" t="s">
        <v>56</v>
      </c>
    </row>
    <row r="68" customFormat="false" ht="23.85" hidden="false" customHeight="false" outlineLevel="0" collapsed="false">
      <c r="A68" s="23" t="s">
        <v>1254</v>
      </c>
      <c r="B68" s="24" t="s">
        <v>446</v>
      </c>
      <c r="C68" s="25" t="s">
        <v>447</v>
      </c>
      <c r="D68" s="25" t="str">
        <f aca="false">IFERROR(INDEX(Equipements!$B$6:$B$200,MATCH($B68,Equipements!$A$6:$A$200,0)),"?")</f>
        <v>Cuisine</v>
      </c>
      <c r="E68" s="26" t="s">
        <v>1255</v>
      </c>
      <c r="F68" s="24" t="s">
        <v>922</v>
      </c>
      <c r="G68" s="24" t="n">
        <v>0.25</v>
      </c>
      <c r="H68" s="25" t="s">
        <v>1256</v>
      </c>
      <c r="I68" s="25" t="s">
        <v>924</v>
      </c>
      <c r="J68" s="24" t="n">
        <v>15</v>
      </c>
      <c r="K68" s="25" t="s">
        <v>1257</v>
      </c>
      <c r="L68" s="25" t="s">
        <v>1258</v>
      </c>
      <c r="M68" s="25" t="s">
        <v>1259</v>
      </c>
      <c r="N68" s="24" t="s">
        <v>191</v>
      </c>
      <c r="O68" s="24" t="s">
        <v>56</v>
      </c>
    </row>
    <row r="69" customFormat="false" ht="23.85" hidden="false" customHeight="false" outlineLevel="0" collapsed="false">
      <c r="A69" s="23" t="s">
        <v>1260</v>
      </c>
      <c r="B69" s="24" t="s">
        <v>453</v>
      </c>
      <c r="C69" s="25" t="s">
        <v>454</v>
      </c>
      <c r="D69" s="25" t="str">
        <f aca="false">IFERROR(INDEX(Equipements!$B$6:$B$200,MATCH($B69,Equipements!$A$6:$A$200,0)),"?")</f>
        <v>Petit electromenager</v>
      </c>
      <c r="E69" s="26" t="s">
        <v>1261</v>
      </c>
      <c r="F69" s="24" t="s">
        <v>922</v>
      </c>
      <c r="G69" s="24" t="n">
        <v>6</v>
      </c>
      <c r="H69" s="25" t="s">
        <v>709</v>
      </c>
      <c r="I69" s="25" t="s">
        <v>924</v>
      </c>
      <c r="J69" s="24" t="n">
        <v>10</v>
      </c>
      <c r="K69" s="25" t="s">
        <v>1262</v>
      </c>
      <c r="L69" s="25" t="s">
        <v>1263</v>
      </c>
      <c r="M69" s="25" t="s">
        <v>1264</v>
      </c>
      <c r="N69" s="24" t="s">
        <v>191</v>
      </c>
      <c r="O69" s="24" t="s">
        <v>56</v>
      </c>
    </row>
    <row r="70" customFormat="false" ht="23.85" hidden="false" customHeight="false" outlineLevel="0" collapsed="false">
      <c r="A70" s="23" t="s">
        <v>1265</v>
      </c>
      <c r="B70" s="24" t="s">
        <v>460</v>
      </c>
      <c r="C70" s="25" t="s">
        <v>461</v>
      </c>
      <c r="D70" s="25" t="str">
        <f aca="false">IFERROR(INDEX(Equipements!$B$6:$B$200,MATCH($B70,Equipements!$A$6:$A$200,0)),"?")</f>
        <v>Petit electromenager</v>
      </c>
      <c r="E70" s="26" t="s">
        <v>1266</v>
      </c>
      <c r="F70" s="24" t="s">
        <v>922</v>
      </c>
      <c r="G70" s="24" t="n">
        <v>1</v>
      </c>
      <c r="H70" s="25" t="s">
        <v>923</v>
      </c>
      <c r="I70" s="25" t="s">
        <v>924</v>
      </c>
      <c r="J70" s="24" t="n">
        <v>15</v>
      </c>
      <c r="K70" s="25" t="s">
        <v>1267</v>
      </c>
      <c r="L70" s="25" t="s">
        <v>1268</v>
      </c>
      <c r="M70" s="25" t="s">
        <v>1269</v>
      </c>
      <c r="N70" s="24" t="s">
        <v>191</v>
      </c>
      <c r="O70" s="24" t="s">
        <v>56</v>
      </c>
    </row>
    <row r="71" customFormat="false" ht="15" hidden="false" customHeight="false" outlineLevel="0" collapsed="false">
      <c r="A71" s="23" t="s">
        <v>1270</v>
      </c>
      <c r="B71" s="24" t="s">
        <v>489</v>
      </c>
      <c r="C71" s="25" t="s">
        <v>491</v>
      </c>
      <c r="D71" s="25" t="str">
        <f aca="false">IFERROR(INDEX(Equipements!$B$6:$B$200,MATCH($B71,Equipements!$A$6:$A$200,0)),"?")</f>
        <v>Maison &amp; securite</v>
      </c>
      <c r="E71" s="26" t="s">
        <v>1271</v>
      </c>
      <c r="F71" s="24" t="s">
        <v>922</v>
      </c>
      <c r="G71" s="24" t="n">
        <v>6</v>
      </c>
      <c r="H71" s="25" t="s">
        <v>709</v>
      </c>
      <c r="I71" s="25" t="s">
        <v>924</v>
      </c>
      <c r="J71" s="24" t="n">
        <v>20</v>
      </c>
      <c r="K71" s="25" t="s">
        <v>1272</v>
      </c>
      <c r="L71" s="25" t="s">
        <v>1273</v>
      </c>
      <c r="M71" s="25" t="s">
        <v>1274</v>
      </c>
      <c r="N71" s="24" t="s">
        <v>191</v>
      </c>
      <c r="O71" s="24" t="s">
        <v>56</v>
      </c>
    </row>
    <row r="72" customFormat="false" ht="35.05" hidden="false" customHeight="false" outlineLevel="0" collapsed="false">
      <c r="A72" s="23" t="s">
        <v>1275</v>
      </c>
      <c r="B72" s="24" t="s">
        <v>489</v>
      </c>
      <c r="C72" s="25" t="s">
        <v>491</v>
      </c>
      <c r="D72" s="25" t="str">
        <f aca="false">IFERROR(INDEX(Equipements!$B$6:$B$200,MATCH($B72,Equipements!$A$6:$A$200,0)),"?")</f>
        <v>Maison &amp; securite</v>
      </c>
      <c r="E72" s="26" t="s">
        <v>1276</v>
      </c>
      <c r="F72" s="24" t="s">
        <v>922</v>
      </c>
      <c r="G72" s="24" t="n">
        <v>12</v>
      </c>
      <c r="H72" s="25" t="s">
        <v>1020</v>
      </c>
      <c r="I72" s="25" t="s">
        <v>924</v>
      </c>
      <c r="J72" s="24" t="n">
        <v>15</v>
      </c>
      <c r="K72" s="25" t="s">
        <v>1022</v>
      </c>
      <c r="L72" s="25" t="s">
        <v>1277</v>
      </c>
      <c r="M72" s="25" t="s">
        <v>1278</v>
      </c>
      <c r="N72" s="24" t="s">
        <v>191</v>
      </c>
      <c r="O72" s="24" t="s">
        <v>56</v>
      </c>
    </row>
    <row r="73" customFormat="false" ht="23.85" hidden="false" customHeight="false" outlineLevel="0" collapsed="false">
      <c r="A73" s="13" t="s">
        <v>1279</v>
      </c>
      <c r="B73" s="27" t="s">
        <v>502</v>
      </c>
      <c r="C73" s="28" t="s">
        <v>503</v>
      </c>
      <c r="D73" s="28" t="str">
        <f aca="false">IFERROR(INDEX(Equipements!$B$6:$B$200,MATCH($B73,Equipements!$A$6:$A$200,0)),"?")</f>
        <v>Maison &amp; securite</v>
      </c>
      <c r="E73" s="12" t="s">
        <v>1280</v>
      </c>
      <c r="F73" s="27" t="s">
        <v>201</v>
      </c>
      <c r="G73" s="27" t="n">
        <v>12</v>
      </c>
      <c r="H73" s="28" t="s">
        <v>1020</v>
      </c>
      <c r="I73" s="28" t="s">
        <v>1033</v>
      </c>
      <c r="J73" s="27" t="n">
        <v>30</v>
      </c>
      <c r="K73" s="28" t="s">
        <v>1281</v>
      </c>
      <c r="L73" s="28" t="s">
        <v>1282</v>
      </c>
      <c r="M73" s="28" t="s">
        <v>1283</v>
      </c>
      <c r="N73" s="27" t="s">
        <v>224</v>
      </c>
      <c r="O73" s="27" t="s">
        <v>58</v>
      </c>
    </row>
    <row r="74" customFormat="false" ht="23.85" hidden="false" customHeight="false" outlineLevel="0" collapsed="false">
      <c r="A74" s="23" t="s">
        <v>1284</v>
      </c>
      <c r="B74" s="24" t="s">
        <v>526</v>
      </c>
      <c r="C74" s="25" t="s">
        <v>527</v>
      </c>
      <c r="D74" s="25" t="str">
        <f aca="false">IFERROR(INDEX(Equipements!$B$6:$B$200,MATCH($B74,Equipements!$A$6:$A$200,0)),"?")</f>
        <v>Maison &amp; securite</v>
      </c>
      <c r="E74" s="26" t="s">
        <v>1285</v>
      </c>
      <c r="F74" s="24" t="s">
        <v>922</v>
      </c>
      <c r="G74" s="24" t="n">
        <v>6</v>
      </c>
      <c r="H74" s="25" t="s">
        <v>1286</v>
      </c>
      <c r="I74" s="25" t="s">
        <v>1014</v>
      </c>
      <c r="J74" s="24" t="n">
        <v>45</v>
      </c>
      <c r="K74" s="25" t="s">
        <v>1287</v>
      </c>
      <c r="L74" s="25" t="s">
        <v>1288</v>
      </c>
      <c r="M74" s="25" t="s">
        <v>1289</v>
      </c>
      <c r="N74" s="24" t="s">
        <v>224</v>
      </c>
      <c r="O74" s="24" t="s">
        <v>56</v>
      </c>
    </row>
    <row r="75" customFormat="false" ht="23.85" hidden="false" customHeight="false" outlineLevel="0" collapsed="false">
      <c r="A75" s="23" t="s">
        <v>1290</v>
      </c>
      <c r="B75" s="24" t="s">
        <v>509</v>
      </c>
      <c r="C75" s="25" t="s">
        <v>510</v>
      </c>
      <c r="D75" s="25" t="str">
        <f aca="false">IFERROR(INDEX(Equipements!$B$6:$B$200,MATCH($B75,Equipements!$A$6:$A$200,0)),"?")</f>
        <v>Maison &amp; securite</v>
      </c>
      <c r="E75" s="26" t="s">
        <v>1291</v>
      </c>
      <c r="F75" s="24" t="s">
        <v>922</v>
      </c>
      <c r="G75" s="24" t="n">
        <v>12</v>
      </c>
      <c r="H75" s="25" t="s">
        <v>1020</v>
      </c>
      <c r="I75" s="25" t="s">
        <v>1033</v>
      </c>
      <c r="J75" s="24" t="n">
        <v>20</v>
      </c>
      <c r="K75" s="25" t="s">
        <v>1292</v>
      </c>
      <c r="L75" s="25" t="s">
        <v>1293</v>
      </c>
      <c r="M75" s="25" t="s">
        <v>1294</v>
      </c>
      <c r="N75" s="24" t="s">
        <v>191</v>
      </c>
      <c r="O75" s="24" t="s">
        <v>56</v>
      </c>
    </row>
    <row r="76" customFormat="false" ht="35.05" hidden="false" customHeight="false" outlineLevel="0" collapsed="false">
      <c r="A76" s="17" t="s">
        <v>1295</v>
      </c>
      <c r="B76" s="16" t="s">
        <v>548</v>
      </c>
      <c r="C76" s="19" t="s">
        <v>550</v>
      </c>
      <c r="D76" s="19" t="str">
        <f aca="false">IFERROR(INDEX(Equipements!$B$6:$B$200,MATCH($B76,Equipements!$A$6:$A$200,0)),"?")</f>
        <v>Maison &amp; securite</v>
      </c>
      <c r="E76" s="18" t="s">
        <v>1296</v>
      </c>
      <c r="F76" s="16" t="s">
        <v>201</v>
      </c>
      <c r="G76" s="16" t="n">
        <v>48</v>
      </c>
      <c r="H76" s="19" t="s">
        <v>1297</v>
      </c>
      <c r="I76" s="19" t="s">
        <v>1298</v>
      </c>
      <c r="J76" s="16" t="n">
        <v>120</v>
      </c>
      <c r="K76" s="19" t="s">
        <v>1299</v>
      </c>
      <c r="L76" s="19" t="s">
        <v>1300</v>
      </c>
      <c r="M76" s="19" t="s">
        <v>1301</v>
      </c>
      <c r="N76" s="17" t="s">
        <v>97</v>
      </c>
      <c r="O76" s="16" t="s">
        <v>56</v>
      </c>
    </row>
    <row r="77" customFormat="false" ht="23.85" hidden="false" customHeight="false" outlineLevel="0" collapsed="false">
      <c r="A77" s="17" t="s">
        <v>1302</v>
      </c>
      <c r="B77" s="16" t="s">
        <v>548</v>
      </c>
      <c r="C77" s="19" t="s">
        <v>550</v>
      </c>
      <c r="D77" s="19" t="str">
        <f aca="false">IFERROR(INDEX(Equipements!$B$6:$B$200,MATCH($B77,Equipements!$A$6:$A$200,0)),"?")</f>
        <v>Maison &amp; securite</v>
      </c>
      <c r="E77" s="18" t="s">
        <v>1303</v>
      </c>
      <c r="F77" s="16" t="s">
        <v>922</v>
      </c>
      <c r="G77" s="16" t="n">
        <v>120</v>
      </c>
      <c r="H77" s="19" t="s">
        <v>1304</v>
      </c>
      <c r="I77" s="19" t="s">
        <v>1305</v>
      </c>
      <c r="J77" s="16" t="n">
        <v>60</v>
      </c>
      <c r="K77" s="19" t="s">
        <v>1306</v>
      </c>
      <c r="L77" s="19" t="s">
        <v>1307</v>
      </c>
      <c r="M77" s="19" t="s">
        <v>1308</v>
      </c>
      <c r="N77" s="17" t="s">
        <v>97</v>
      </c>
      <c r="O77" s="16" t="s">
        <v>58</v>
      </c>
    </row>
    <row r="78" customFormat="false" ht="23.85" hidden="false" customHeight="false" outlineLevel="0" collapsed="false">
      <c r="A78" s="23" t="s">
        <v>1309</v>
      </c>
      <c r="B78" s="24" t="s">
        <v>569</v>
      </c>
      <c r="C78" s="25" t="s">
        <v>570</v>
      </c>
      <c r="D78" s="25" t="str">
        <f aca="false">IFERROR(INDEX(Equipements!$B$6:$B$200,MATCH($B78,Equipements!$A$6:$A$200,0)),"?")</f>
        <v>Maison &amp; securite</v>
      </c>
      <c r="E78" s="26" t="s">
        <v>1310</v>
      </c>
      <c r="F78" s="24" t="s">
        <v>922</v>
      </c>
      <c r="G78" s="24" t="n">
        <v>6</v>
      </c>
      <c r="H78" s="25" t="s">
        <v>709</v>
      </c>
      <c r="I78" s="25" t="s">
        <v>1014</v>
      </c>
      <c r="J78" s="24" t="n">
        <v>30</v>
      </c>
      <c r="K78" s="25" t="s">
        <v>1311</v>
      </c>
      <c r="L78" s="25" t="s">
        <v>1312</v>
      </c>
      <c r="M78" s="25" t="s">
        <v>1313</v>
      </c>
      <c r="N78" s="24" t="s">
        <v>191</v>
      </c>
      <c r="O78" s="24" t="s">
        <v>56</v>
      </c>
    </row>
    <row r="79" customFormat="false" ht="23.85" hidden="false" customHeight="false" outlineLevel="0" collapsed="false">
      <c r="A79" s="23" t="s">
        <v>1314</v>
      </c>
      <c r="B79" s="24" t="s">
        <v>573</v>
      </c>
      <c r="C79" s="25" t="s">
        <v>574</v>
      </c>
      <c r="D79" s="25" t="str">
        <f aca="false">IFERROR(INDEX(Equipements!$B$6:$B$200,MATCH($B79,Equipements!$A$6:$A$200,0)),"?")</f>
        <v>Maison &amp; securite</v>
      </c>
      <c r="E79" s="26" t="s">
        <v>1315</v>
      </c>
      <c r="F79" s="24" t="s">
        <v>922</v>
      </c>
      <c r="G79" s="24" t="n">
        <v>6</v>
      </c>
      <c r="H79" s="25" t="s">
        <v>709</v>
      </c>
      <c r="I79" s="25" t="s">
        <v>1014</v>
      </c>
      <c r="J79" s="24" t="n">
        <v>30</v>
      </c>
      <c r="K79" s="25" t="s">
        <v>1316</v>
      </c>
      <c r="L79" s="25" t="s">
        <v>1317</v>
      </c>
      <c r="M79" s="25" t="s">
        <v>1318</v>
      </c>
      <c r="N79" s="24" t="s">
        <v>191</v>
      </c>
      <c r="O79" s="24" t="s">
        <v>56</v>
      </c>
    </row>
    <row r="80" customFormat="false" ht="23.85" hidden="false" customHeight="false" outlineLevel="0" collapsed="false">
      <c r="A80" s="17" t="s">
        <v>1319</v>
      </c>
      <c r="B80" s="16" t="s">
        <v>559</v>
      </c>
      <c r="C80" s="19" t="s">
        <v>560</v>
      </c>
      <c r="D80" s="19" t="str">
        <f aca="false">IFERROR(INDEX(Equipements!$B$6:$B$200,MATCH($B80,Equipements!$A$6:$A$200,0)),"?")</f>
        <v>Maison &amp; securite</v>
      </c>
      <c r="E80" s="18" t="s">
        <v>1320</v>
      </c>
      <c r="F80" s="16" t="s">
        <v>201</v>
      </c>
      <c r="G80" s="16" t="n">
        <v>12</v>
      </c>
      <c r="H80" s="19" t="s">
        <v>1321</v>
      </c>
      <c r="I80" s="19" t="s">
        <v>924</v>
      </c>
      <c r="J80" s="16" t="n">
        <v>60</v>
      </c>
      <c r="K80" s="19" t="s">
        <v>1065</v>
      </c>
      <c r="L80" s="19" t="s">
        <v>1322</v>
      </c>
      <c r="M80" s="19" t="s">
        <v>1323</v>
      </c>
      <c r="N80" s="17" t="s">
        <v>97</v>
      </c>
      <c r="O80" s="16" t="s">
        <v>56</v>
      </c>
    </row>
    <row r="81" customFormat="false" ht="35.05" hidden="false" customHeight="false" outlineLevel="0" collapsed="false">
      <c r="A81" s="23" t="s">
        <v>1324</v>
      </c>
      <c r="B81" s="24" t="s">
        <v>583</v>
      </c>
      <c r="C81" s="25" t="s">
        <v>584</v>
      </c>
      <c r="D81" s="25" t="str">
        <f aca="false">IFERROR(INDEX(Equipements!$B$6:$B$200,MATCH($B81,Equipements!$A$6:$A$200,0)),"?")</f>
        <v>Energie</v>
      </c>
      <c r="E81" s="26" t="s">
        <v>1325</v>
      </c>
      <c r="F81" s="24" t="s">
        <v>922</v>
      </c>
      <c r="G81" s="24" t="n">
        <v>6</v>
      </c>
      <c r="H81" s="25" t="s">
        <v>709</v>
      </c>
      <c r="I81" s="25" t="s">
        <v>1014</v>
      </c>
      <c r="J81" s="24" t="n">
        <v>15</v>
      </c>
      <c r="K81" s="25" t="s">
        <v>1326</v>
      </c>
      <c r="L81" s="25" t="s">
        <v>1327</v>
      </c>
      <c r="M81" s="25" t="s">
        <v>1328</v>
      </c>
      <c r="N81" s="24" t="s">
        <v>191</v>
      </c>
      <c r="O81" s="24" t="s">
        <v>56</v>
      </c>
    </row>
    <row r="82" customFormat="false" ht="23.85" hidden="false" customHeight="false" outlineLevel="0" collapsed="false">
      <c r="A82" s="13" t="s">
        <v>1329</v>
      </c>
      <c r="B82" s="27" t="s">
        <v>583</v>
      </c>
      <c r="C82" s="28" t="s">
        <v>584</v>
      </c>
      <c r="D82" s="28" t="str">
        <f aca="false">IFERROR(INDEX(Equipements!$B$6:$B$200,MATCH($B82,Equipements!$A$6:$A$200,0)),"?")</f>
        <v>Energie</v>
      </c>
      <c r="E82" s="12" t="s">
        <v>1330</v>
      </c>
      <c r="F82" s="27" t="s">
        <v>201</v>
      </c>
      <c r="G82" s="27" t="n">
        <v>18</v>
      </c>
      <c r="H82" s="28" t="s">
        <v>1331</v>
      </c>
      <c r="I82" s="28" t="s">
        <v>1332</v>
      </c>
      <c r="J82" s="27" t="n">
        <v>90</v>
      </c>
      <c r="K82" s="28" t="s">
        <v>1333</v>
      </c>
      <c r="L82" s="28" t="s">
        <v>1334</v>
      </c>
      <c r="M82" s="28" t="s">
        <v>1335</v>
      </c>
      <c r="N82" s="27" t="s">
        <v>191</v>
      </c>
      <c r="O82" s="27" t="s">
        <v>60</v>
      </c>
    </row>
    <row r="83" customFormat="false" ht="23.85" hidden="false" customHeight="false" outlineLevel="0" collapsed="false">
      <c r="A83" s="23" t="s">
        <v>1336</v>
      </c>
      <c r="B83" s="24" t="s">
        <v>590</v>
      </c>
      <c r="C83" s="25" t="s">
        <v>591</v>
      </c>
      <c r="D83" s="25" t="str">
        <f aca="false">IFERROR(INDEX(Equipements!$B$6:$B$200,MATCH($B83,Equipements!$A$6:$A$200,0)),"?")</f>
        <v>Energie</v>
      </c>
      <c r="E83" s="26" t="s">
        <v>1337</v>
      </c>
      <c r="F83" s="24" t="s">
        <v>922</v>
      </c>
      <c r="G83" s="24" t="n">
        <v>1</v>
      </c>
      <c r="H83" s="25" t="s">
        <v>923</v>
      </c>
      <c r="I83" s="25" t="s">
        <v>924</v>
      </c>
      <c r="J83" s="24" t="n">
        <v>10</v>
      </c>
      <c r="K83" s="25" t="s">
        <v>1338</v>
      </c>
      <c r="L83" s="25" t="s">
        <v>1339</v>
      </c>
      <c r="M83" s="25" t="s">
        <v>1340</v>
      </c>
      <c r="N83" s="24" t="s">
        <v>191</v>
      </c>
      <c r="O83" s="24" t="s">
        <v>56</v>
      </c>
    </row>
    <row r="84" customFormat="false" ht="23.85" hidden="false" customHeight="false" outlineLevel="0" collapsed="false">
      <c r="A84" s="13" t="s">
        <v>1341</v>
      </c>
      <c r="B84" s="27" t="s">
        <v>603</v>
      </c>
      <c r="C84" s="28" t="s">
        <v>604</v>
      </c>
      <c r="D84" s="28" t="str">
        <f aca="false">IFERROR(INDEX(Equipements!$B$6:$B$200,MATCH($B84,Equipements!$A$6:$A$200,0)),"?")</f>
        <v>Energie</v>
      </c>
      <c r="E84" s="12" t="s">
        <v>1342</v>
      </c>
      <c r="F84" s="27" t="s">
        <v>201</v>
      </c>
      <c r="G84" s="27" t="n">
        <v>12</v>
      </c>
      <c r="H84" s="28" t="s">
        <v>1020</v>
      </c>
      <c r="I84" s="28" t="s">
        <v>924</v>
      </c>
      <c r="J84" s="27" t="n">
        <v>45</v>
      </c>
      <c r="K84" s="28" t="s">
        <v>1343</v>
      </c>
      <c r="L84" s="28" t="s">
        <v>1344</v>
      </c>
      <c r="M84" s="28" t="s">
        <v>1345</v>
      </c>
      <c r="N84" s="27" t="s">
        <v>191</v>
      </c>
      <c r="O84" s="27" t="s">
        <v>58</v>
      </c>
    </row>
    <row r="85" customFormat="false" ht="35.05" hidden="false" customHeight="false" outlineLevel="0" collapsed="false">
      <c r="A85" s="23" t="s">
        <v>1346</v>
      </c>
      <c r="B85" s="24" t="s">
        <v>610</v>
      </c>
      <c r="C85" s="25" t="s">
        <v>611</v>
      </c>
      <c r="D85" s="25" t="str">
        <f aca="false">IFERROR(INDEX(Equipements!$B$6:$B$200,MATCH($B85,Equipements!$A$6:$A$200,0)),"?")</f>
        <v>Energie</v>
      </c>
      <c r="E85" s="26" t="s">
        <v>1347</v>
      </c>
      <c r="F85" s="24" t="s">
        <v>922</v>
      </c>
      <c r="G85" s="24" t="n">
        <v>1</v>
      </c>
      <c r="H85" s="25" t="s">
        <v>923</v>
      </c>
      <c r="I85" s="25" t="s">
        <v>924</v>
      </c>
      <c r="J85" s="24" t="n">
        <v>5</v>
      </c>
      <c r="K85" s="25" t="s">
        <v>1022</v>
      </c>
      <c r="L85" s="25" t="s">
        <v>1348</v>
      </c>
      <c r="M85" s="25" t="s">
        <v>1349</v>
      </c>
      <c r="N85" s="24" t="s">
        <v>191</v>
      </c>
      <c r="O85" s="24" t="s">
        <v>56</v>
      </c>
    </row>
    <row r="86" customFormat="false" ht="23.85" hidden="false" customHeight="false" outlineLevel="0" collapsed="false">
      <c r="A86" s="23" t="s">
        <v>1350</v>
      </c>
      <c r="B86" s="24" t="s">
        <v>630</v>
      </c>
      <c r="C86" s="25" t="s">
        <v>631</v>
      </c>
      <c r="D86" s="25" t="str">
        <f aca="false">IFERROR(INDEX(Equipements!$B$6:$B$200,MATCH($B86,Equipements!$A$6:$A$200,0)),"?")</f>
        <v>Energie</v>
      </c>
      <c r="E86" s="26" t="s">
        <v>1351</v>
      </c>
      <c r="F86" s="24" t="s">
        <v>922</v>
      </c>
      <c r="G86" s="24" t="n">
        <v>1</v>
      </c>
      <c r="H86" s="25" t="s">
        <v>923</v>
      </c>
      <c r="I86" s="25" t="s">
        <v>924</v>
      </c>
      <c r="J86" s="24" t="n">
        <v>20</v>
      </c>
      <c r="K86" s="25" t="s">
        <v>1352</v>
      </c>
      <c r="L86" s="25" t="s">
        <v>1353</v>
      </c>
      <c r="M86" s="25" t="s">
        <v>1354</v>
      </c>
      <c r="N86" s="24" t="s">
        <v>191</v>
      </c>
      <c r="O86" s="24" t="s">
        <v>56</v>
      </c>
    </row>
    <row r="87" customFormat="false" ht="23.85" hidden="false" customHeight="false" outlineLevel="0" collapsed="false">
      <c r="A87" s="17" t="s">
        <v>1355</v>
      </c>
      <c r="B87" s="16" t="s">
        <v>636</v>
      </c>
      <c r="C87" s="19" t="s">
        <v>638</v>
      </c>
      <c r="D87" s="19" t="str">
        <f aca="false">IFERROR(INDEX(Equipements!$B$6:$B$200,MATCH($B87,Equipements!$A$6:$A$200,0)),"?")</f>
        <v>Maison &amp; securite</v>
      </c>
      <c r="E87" s="18" t="s">
        <v>1356</v>
      </c>
      <c r="F87" s="16" t="s">
        <v>922</v>
      </c>
      <c r="G87" s="16" t="n">
        <v>1</v>
      </c>
      <c r="H87" s="19" t="s">
        <v>923</v>
      </c>
      <c r="I87" s="19" t="s">
        <v>924</v>
      </c>
      <c r="J87" s="16" t="n">
        <v>2</v>
      </c>
      <c r="K87" s="19" t="s">
        <v>1022</v>
      </c>
      <c r="L87" s="19" t="s">
        <v>1357</v>
      </c>
      <c r="M87" s="19" t="s">
        <v>1358</v>
      </c>
      <c r="N87" s="17" t="s">
        <v>97</v>
      </c>
      <c r="O87" s="16" t="s">
        <v>56</v>
      </c>
    </row>
    <row r="88" customFormat="false" ht="46.25" hidden="false" customHeight="false" outlineLevel="0" collapsed="false">
      <c r="A88" s="17" t="s">
        <v>1359</v>
      </c>
      <c r="B88" s="16" t="s">
        <v>636</v>
      </c>
      <c r="C88" s="19" t="s">
        <v>638</v>
      </c>
      <c r="D88" s="19" t="str">
        <f aca="false">IFERROR(INDEX(Equipements!$B$6:$B$200,MATCH($B88,Equipements!$A$6:$A$200,0)),"?")</f>
        <v>Maison &amp; securite</v>
      </c>
      <c r="E88" s="18" t="s">
        <v>1360</v>
      </c>
      <c r="F88" s="16" t="s">
        <v>922</v>
      </c>
      <c r="G88" s="16" t="n">
        <v>120</v>
      </c>
      <c r="H88" s="19" t="s">
        <v>1361</v>
      </c>
      <c r="I88" s="19" t="s">
        <v>1362</v>
      </c>
      <c r="J88" s="16" t="n">
        <v>15</v>
      </c>
      <c r="K88" s="19" t="s">
        <v>1363</v>
      </c>
      <c r="L88" s="19" t="s">
        <v>1364</v>
      </c>
      <c r="M88" s="19" t="s">
        <v>1365</v>
      </c>
      <c r="N88" s="17" t="s">
        <v>97</v>
      </c>
      <c r="O88" s="16" t="s">
        <v>56</v>
      </c>
    </row>
    <row r="89" customFormat="false" ht="23.85" hidden="false" customHeight="false" outlineLevel="0" collapsed="false">
      <c r="A89" s="23" t="s">
        <v>1366</v>
      </c>
      <c r="B89" s="24" t="s">
        <v>647</v>
      </c>
      <c r="C89" s="25" t="s">
        <v>648</v>
      </c>
      <c r="D89" s="25" t="str">
        <f aca="false">IFERROR(INDEX(Equipements!$B$6:$B$200,MATCH($B89,Equipements!$A$6:$A$200,0)),"?")</f>
        <v>Maison &amp; securite</v>
      </c>
      <c r="E89" s="26" t="s">
        <v>1367</v>
      </c>
      <c r="F89" s="24" t="s">
        <v>922</v>
      </c>
      <c r="G89" s="24" t="n">
        <v>1</v>
      </c>
      <c r="H89" s="25" t="s">
        <v>923</v>
      </c>
      <c r="I89" s="25" t="s">
        <v>924</v>
      </c>
      <c r="J89" s="24" t="n">
        <v>2</v>
      </c>
      <c r="K89" s="25" t="s">
        <v>1022</v>
      </c>
      <c r="L89" s="25" t="s">
        <v>1368</v>
      </c>
      <c r="M89" s="25" t="s">
        <v>1369</v>
      </c>
      <c r="N89" s="24" t="s">
        <v>191</v>
      </c>
      <c r="O89" s="24" t="s">
        <v>56</v>
      </c>
    </row>
    <row r="90" customFormat="false" ht="23.85" hidden="false" customHeight="false" outlineLevel="0" collapsed="false">
      <c r="A90" s="23" t="s">
        <v>1370</v>
      </c>
      <c r="B90" s="24" t="s">
        <v>666</v>
      </c>
      <c r="C90" s="25" t="s">
        <v>667</v>
      </c>
      <c r="D90" s="25" t="str">
        <f aca="false">IFERROR(INDEX(Equipements!$B$6:$B$200,MATCH($B90,Equipements!$A$6:$A$200,0)),"?")</f>
        <v>Maison &amp; securite</v>
      </c>
      <c r="E90" s="26" t="s">
        <v>1371</v>
      </c>
      <c r="F90" s="24" t="s">
        <v>922</v>
      </c>
      <c r="G90" s="24" t="n">
        <v>12</v>
      </c>
      <c r="H90" s="25" t="s">
        <v>1372</v>
      </c>
      <c r="I90" s="25" t="s">
        <v>924</v>
      </c>
      <c r="J90" s="24" t="n">
        <v>30</v>
      </c>
      <c r="K90" s="25" t="s">
        <v>1373</v>
      </c>
      <c r="L90" s="25" t="s">
        <v>1374</v>
      </c>
      <c r="M90" s="25" t="s">
        <v>1375</v>
      </c>
      <c r="N90" s="24" t="s">
        <v>191</v>
      </c>
      <c r="O90" s="24" t="s">
        <v>56</v>
      </c>
    </row>
    <row r="91" customFormat="false" ht="23.85" hidden="false" customHeight="false" outlineLevel="0" collapsed="false">
      <c r="A91" s="17" t="s">
        <v>1376</v>
      </c>
      <c r="B91" s="16" t="s">
        <v>683</v>
      </c>
      <c r="C91" s="19" t="s">
        <v>684</v>
      </c>
      <c r="D91" s="19" t="str">
        <f aca="false">IFERROR(INDEX(Equipements!$B$6:$B$200,MATCH($B91,Equipements!$A$6:$A$200,0)),"?")</f>
        <v>Maison &amp; securite</v>
      </c>
      <c r="E91" s="18" t="s">
        <v>1377</v>
      </c>
      <c r="F91" s="16" t="s">
        <v>201</v>
      </c>
      <c r="G91" s="16" t="n">
        <v>1.5</v>
      </c>
      <c r="H91" s="19" t="s">
        <v>1378</v>
      </c>
      <c r="I91" s="19" t="s">
        <v>924</v>
      </c>
      <c r="J91" s="16" t="n">
        <v>60</v>
      </c>
      <c r="K91" s="19" t="s">
        <v>1379</v>
      </c>
      <c r="L91" s="19" t="s">
        <v>1380</v>
      </c>
      <c r="M91" s="19" t="s">
        <v>690</v>
      </c>
      <c r="N91" s="17" t="s">
        <v>97</v>
      </c>
      <c r="O91" s="16" t="s">
        <v>56</v>
      </c>
    </row>
    <row r="92" customFormat="false" ht="23.85" hidden="false" customHeight="false" outlineLevel="0" collapsed="false">
      <c r="A92" s="17" t="s">
        <v>1381</v>
      </c>
      <c r="B92" s="16" t="s">
        <v>683</v>
      </c>
      <c r="C92" s="19" t="s">
        <v>684</v>
      </c>
      <c r="D92" s="19" t="str">
        <f aca="false">IFERROR(INDEX(Equipements!$B$6:$B$200,MATCH($B92,Equipements!$A$6:$A$200,0)),"?")</f>
        <v>Maison &amp; securite</v>
      </c>
      <c r="E92" s="18" t="s">
        <v>1382</v>
      </c>
      <c r="F92" s="16" t="s">
        <v>201</v>
      </c>
      <c r="G92" s="16" t="n">
        <v>60</v>
      </c>
      <c r="H92" s="19" t="s">
        <v>1191</v>
      </c>
      <c r="I92" s="19" t="s">
        <v>1362</v>
      </c>
      <c r="J92" s="16" t="n">
        <v>180</v>
      </c>
      <c r="K92" s="19" t="s">
        <v>1383</v>
      </c>
      <c r="L92" s="19" t="s">
        <v>1384</v>
      </c>
      <c r="M92" s="19" t="s">
        <v>1385</v>
      </c>
      <c r="N92" s="17" t="s">
        <v>97</v>
      </c>
      <c r="O92" s="16" t="s">
        <v>58</v>
      </c>
    </row>
    <row r="93" customFormat="false" ht="23.85" hidden="false" customHeight="false" outlineLevel="0" collapsed="false">
      <c r="A93" s="23" t="s">
        <v>1386</v>
      </c>
      <c r="B93" s="24" t="s">
        <v>694</v>
      </c>
      <c r="C93" s="25" t="s">
        <v>696</v>
      </c>
      <c r="D93" s="25" t="str">
        <f aca="false">IFERROR(INDEX(Equipements!$B$6:$B$200,MATCH($B93,Equipements!$A$6:$A$200,0)),"?")</f>
        <v>Maison &amp; securite</v>
      </c>
      <c r="E93" s="26" t="s">
        <v>1387</v>
      </c>
      <c r="F93" s="24" t="s">
        <v>922</v>
      </c>
      <c r="G93" s="24" t="n">
        <v>6</v>
      </c>
      <c r="H93" s="25" t="s">
        <v>709</v>
      </c>
      <c r="I93" s="25" t="s">
        <v>1014</v>
      </c>
      <c r="J93" s="24" t="n">
        <v>30</v>
      </c>
      <c r="K93" s="25" t="s">
        <v>1388</v>
      </c>
      <c r="L93" s="25" t="s">
        <v>1389</v>
      </c>
      <c r="M93" s="25" t="s">
        <v>1390</v>
      </c>
      <c r="N93" s="24" t="s">
        <v>191</v>
      </c>
      <c r="O93" s="24" t="s">
        <v>56</v>
      </c>
    </row>
    <row r="94" customFormat="false" ht="23.85" hidden="false" customHeight="false" outlineLevel="0" collapsed="false">
      <c r="A94" s="23" t="s">
        <v>1391</v>
      </c>
      <c r="B94" s="24" t="s">
        <v>694</v>
      </c>
      <c r="C94" s="25" t="s">
        <v>696</v>
      </c>
      <c r="D94" s="25" t="str">
        <f aca="false">IFERROR(INDEX(Equipements!$B$6:$B$200,MATCH($B94,Equipements!$A$6:$A$200,0)),"?")</f>
        <v>Maison &amp; securite</v>
      </c>
      <c r="E94" s="26" t="s">
        <v>1392</v>
      </c>
      <c r="F94" s="24" t="s">
        <v>922</v>
      </c>
      <c r="G94" s="24" t="n">
        <v>6</v>
      </c>
      <c r="H94" s="25" t="s">
        <v>709</v>
      </c>
      <c r="I94" s="25" t="s">
        <v>1014</v>
      </c>
      <c r="J94" s="24" t="n">
        <v>10</v>
      </c>
      <c r="K94" s="25" t="s">
        <v>1393</v>
      </c>
      <c r="L94" s="25" t="s">
        <v>1394</v>
      </c>
      <c r="M94" s="25" t="s">
        <v>1395</v>
      </c>
      <c r="N94" s="24" t="s">
        <v>191</v>
      </c>
      <c r="O94" s="24" t="s">
        <v>56</v>
      </c>
    </row>
    <row r="95" customFormat="false" ht="23.85" hidden="false" customHeight="false" outlineLevel="0" collapsed="false">
      <c r="A95" s="23" t="s">
        <v>1396</v>
      </c>
      <c r="B95" s="24" t="s">
        <v>706</v>
      </c>
      <c r="C95" s="25" t="s">
        <v>707</v>
      </c>
      <c r="D95" s="25" t="str">
        <f aca="false">IFERROR(INDEX(Equipements!$B$6:$B$200,MATCH($B95,Equipements!$A$6:$A$200,0)),"?")</f>
        <v>Maison &amp; securite</v>
      </c>
      <c r="E95" s="26" t="s">
        <v>1397</v>
      </c>
      <c r="F95" s="24" t="s">
        <v>922</v>
      </c>
      <c r="G95" s="24" t="n">
        <v>6</v>
      </c>
      <c r="H95" s="25" t="s">
        <v>709</v>
      </c>
      <c r="I95" s="25" t="s">
        <v>1014</v>
      </c>
      <c r="J95" s="24" t="n">
        <v>20</v>
      </c>
      <c r="K95" s="25" t="s">
        <v>1398</v>
      </c>
      <c r="L95" s="25" t="s">
        <v>1399</v>
      </c>
      <c r="M95" s="25" t="s">
        <v>1400</v>
      </c>
      <c r="N95" s="24" t="s">
        <v>191</v>
      </c>
      <c r="O95" s="24" t="s">
        <v>56</v>
      </c>
    </row>
    <row r="96" customFormat="false" ht="23.85" hidden="false" customHeight="false" outlineLevel="0" collapsed="false">
      <c r="A96" s="23" t="s">
        <v>1401</v>
      </c>
      <c r="B96" s="24" t="s">
        <v>713</v>
      </c>
      <c r="C96" s="25" t="s">
        <v>714</v>
      </c>
      <c r="D96" s="25" t="str">
        <f aca="false">IFERROR(INDEX(Equipements!$B$6:$B$200,MATCH($B96,Equipements!$A$6:$A$200,0)),"?")</f>
        <v>Maison &amp; securite</v>
      </c>
      <c r="E96" s="26" t="s">
        <v>1402</v>
      </c>
      <c r="F96" s="24" t="s">
        <v>922</v>
      </c>
      <c r="G96" s="24" t="n">
        <v>12</v>
      </c>
      <c r="H96" s="25" t="s">
        <v>1020</v>
      </c>
      <c r="I96" s="25" t="s">
        <v>1033</v>
      </c>
      <c r="J96" s="24" t="n">
        <v>30</v>
      </c>
      <c r="K96" s="25" t="s">
        <v>1403</v>
      </c>
      <c r="L96" s="25" t="s">
        <v>1404</v>
      </c>
      <c r="M96" s="25" t="s">
        <v>1405</v>
      </c>
      <c r="N96" s="24" t="s">
        <v>191</v>
      </c>
      <c r="O96" s="24" t="s">
        <v>56</v>
      </c>
    </row>
    <row r="97" customFormat="false" ht="23.85" hidden="false" customHeight="false" outlineLevel="0" collapsed="false">
      <c r="A97" s="23" t="s">
        <v>1406</v>
      </c>
      <c r="B97" s="24" t="s">
        <v>721</v>
      </c>
      <c r="C97" s="25" t="s">
        <v>722</v>
      </c>
      <c r="D97" s="25" t="str">
        <f aca="false">IFERROR(INDEX(Equipements!$B$6:$B$200,MATCH($B97,Equipements!$A$6:$A$200,0)),"?")</f>
        <v>Maison &amp; securite</v>
      </c>
      <c r="E97" s="26" t="s">
        <v>1407</v>
      </c>
      <c r="F97" s="24" t="s">
        <v>922</v>
      </c>
      <c r="G97" s="24" t="n">
        <v>12</v>
      </c>
      <c r="H97" s="25" t="s">
        <v>1020</v>
      </c>
      <c r="I97" s="25" t="s">
        <v>1033</v>
      </c>
      <c r="J97" s="24" t="n">
        <v>45</v>
      </c>
      <c r="K97" s="25" t="s">
        <v>1408</v>
      </c>
      <c r="L97" s="25" t="s">
        <v>1409</v>
      </c>
      <c r="M97" s="25" t="s">
        <v>1410</v>
      </c>
      <c r="N97" s="24" t="s">
        <v>191</v>
      </c>
      <c r="O97" s="24" t="s">
        <v>56</v>
      </c>
    </row>
    <row r="98" customFormat="false" ht="23.85" hidden="false" customHeight="false" outlineLevel="0" collapsed="false">
      <c r="A98" s="17" t="s">
        <v>1411</v>
      </c>
      <c r="B98" s="16" t="s">
        <v>734</v>
      </c>
      <c r="C98" s="19" t="s">
        <v>736</v>
      </c>
      <c r="D98" s="19" t="str">
        <f aca="false">IFERROR(INDEX(Equipements!$B$6:$B$200,MATCH($B98,Equipements!$A$6:$A$200,0)),"?")</f>
        <v>Jardin &amp; piscine</v>
      </c>
      <c r="E98" s="18" t="s">
        <v>1412</v>
      </c>
      <c r="F98" s="16" t="s">
        <v>922</v>
      </c>
      <c r="G98" s="16" t="n">
        <v>1</v>
      </c>
      <c r="H98" s="19" t="s">
        <v>923</v>
      </c>
      <c r="I98" s="19" t="s">
        <v>924</v>
      </c>
      <c r="J98" s="16" t="n">
        <v>10</v>
      </c>
      <c r="K98" s="19" t="s">
        <v>1022</v>
      </c>
      <c r="L98" s="19" t="s">
        <v>1413</v>
      </c>
      <c r="M98" s="19" t="s">
        <v>1414</v>
      </c>
      <c r="N98" s="17" t="s">
        <v>97</v>
      </c>
      <c r="O98" s="16" t="s">
        <v>56</v>
      </c>
    </row>
    <row r="99" customFormat="false" ht="35.05" hidden="false" customHeight="false" outlineLevel="0" collapsed="false">
      <c r="A99" s="23" t="s">
        <v>1415</v>
      </c>
      <c r="B99" s="24" t="s">
        <v>744</v>
      </c>
      <c r="C99" s="25" t="s">
        <v>745</v>
      </c>
      <c r="D99" s="25" t="str">
        <f aca="false">IFERROR(INDEX(Equipements!$B$6:$B$200,MATCH($B99,Equipements!$A$6:$A$200,0)),"?")</f>
        <v>Jardin &amp; piscine</v>
      </c>
      <c r="E99" s="26" t="s">
        <v>1416</v>
      </c>
      <c r="F99" s="24" t="s">
        <v>922</v>
      </c>
      <c r="G99" s="24" t="n">
        <v>0.25</v>
      </c>
      <c r="H99" s="25" t="s">
        <v>960</v>
      </c>
      <c r="I99" s="25" t="s">
        <v>1417</v>
      </c>
      <c r="J99" s="24" t="n">
        <v>15</v>
      </c>
      <c r="K99" s="25" t="s">
        <v>1418</v>
      </c>
      <c r="L99" s="25" t="s">
        <v>1419</v>
      </c>
      <c r="M99" s="25" t="s">
        <v>1420</v>
      </c>
      <c r="N99" s="24" t="s">
        <v>191</v>
      </c>
      <c r="O99" s="24" t="s">
        <v>56</v>
      </c>
    </row>
    <row r="100" customFormat="false" ht="23.85" hidden="false" customHeight="false" outlineLevel="0" collapsed="false">
      <c r="A100" s="13" t="s">
        <v>1421</v>
      </c>
      <c r="B100" s="27" t="s">
        <v>744</v>
      </c>
      <c r="C100" s="28" t="s">
        <v>745</v>
      </c>
      <c r="D100" s="28" t="str">
        <f aca="false">IFERROR(INDEX(Equipements!$B$6:$B$200,MATCH($B100,Equipements!$A$6:$A$200,0)),"?")</f>
        <v>Jardin &amp; piscine</v>
      </c>
      <c r="E100" s="12" t="s">
        <v>1422</v>
      </c>
      <c r="F100" s="27" t="s">
        <v>201</v>
      </c>
      <c r="G100" s="27" t="n">
        <v>72</v>
      </c>
      <c r="H100" s="28" t="s">
        <v>1423</v>
      </c>
      <c r="I100" s="28" t="s">
        <v>1033</v>
      </c>
      <c r="J100" s="27" t="n">
        <v>180</v>
      </c>
      <c r="K100" s="28" t="s">
        <v>1424</v>
      </c>
      <c r="L100" s="28" t="s">
        <v>1425</v>
      </c>
      <c r="M100" s="28" t="s">
        <v>1426</v>
      </c>
      <c r="N100" s="27" t="s">
        <v>191</v>
      </c>
      <c r="O100" s="27" t="s">
        <v>60</v>
      </c>
    </row>
    <row r="101" customFormat="false" ht="23.85" hidden="false" customHeight="false" outlineLevel="0" collapsed="false">
      <c r="A101" s="23" t="s">
        <v>1427</v>
      </c>
      <c r="B101" s="24" t="s">
        <v>752</v>
      </c>
      <c r="C101" s="25" t="s">
        <v>753</v>
      </c>
      <c r="D101" s="25" t="str">
        <f aca="false">IFERROR(INDEX(Equipements!$B$6:$B$200,MATCH($B101,Equipements!$A$6:$A$200,0)),"?")</f>
        <v>Jardin &amp; piscine</v>
      </c>
      <c r="E101" s="26" t="s">
        <v>1428</v>
      </c>
      <c r="F101" s="24" t="s">
        <v>922</v>
      </c>
      <c r="G101" s="24" t="n">
        <v>0.25</v>
      </c>
      <c r="H101" s="25" t="s">
        <v>960</v>
      </c>
      <c r="I101" s="25" t="s">
        <v>1417</v>
      </c>
      <c r="J101" s="24" t="n">
        <v>10</v>
      </c>
      <c r="K101" s="25" t="s">
        <v>1022</v>
      </c>
      <c r="L101" s="25" t="s">
        <v>1429</v>
      </c>
      <c r="M101" s="25" t="s">
        <v>1430</v>
      </c>
      <c r="N101" s="24" t="s">
        <v>191</v>
      </c>
      <c r="O101" s="24" t="s">
        <v>56</v>
      </c>
    </row>
    <row r="102" customFormat="false" ht="23.85" hidden="false" customHeight="false" outlineLevel="0" collapsed="false">
      <c r="A102" s="23" t="s">
        <v>1431</v>
      </c>
      <c r="B102" s="24" t="s">
        <v>752</v>
      </c>
      <c r="C102" s="25" t="s">
        <v>753</v>
      </c>
      <c r="D102" s="25" t="str">
        <f aca="false">IFERROR(INDEX(Equipements!$B$6:$B$200,MATCH($B102,Equipements!$A$6:$A$200,0)),"?")</f>
        <v>Jardin &amp; piscine</v>
      </c>
      <c r="E102" s="26" t="s">
        <v>1432</v>
      </c>
      <c r="F102" s="24" t="s">
        <v>922</v>
      </c>
      <c r="G102" s="24" t="n">
        <v>12</v>
      </c>
      <c r="H102" s="25" t="s">
        <v>1020</v>
      </c>
      <c r="I102" s="25" t="s">
        <v>1433</v>
      </c>
      <c r="J102" s="24" t="n">
        <v>120</v>
      </c>
      <c r="K102" s="25" t="s">
        <v>1434</v>
      </c>
      <c r="L102" s="25" t="s">
        <v>1435</v>
      </c>
      <c r="M102" s="25" t="s">
        <v>1436</v>
      </c>
      <c r="N102" s="24" t="s">
        <v>191</v>
      </c>
      <c r="O102" s="24" t="s">
        <v>56</v>
      </c>
    </row>
    <row r="103" customFormat="false" ht="23.85" hidden="false" customHeight="false" outlineLevel="0" collapsed="false">
      <c r="A103" s="23" t="s">
        <v>1437</v>
      </c>
      <c r="B103" s="24" t="s">
        <v>752</v>
      </c>
      <c r="C103" s="25" t="s">
        <v>753</v>
      </c>
      <c r="D103" s="25" t="str">
        <f aca="false">IFERROR(INDEX(Equipements!$B$6:$B$200,MATCH($B103,Equipements!$A$6:$A$200,0)),"?")</f>
        <v>Jardin &amp; piscine</v>
      </c>
      <c r="E103" s="26" t="s">
        <v>1438</v>
      </c>
      <c r="F103" s="24" t="s">
        <v>922</v>
      </c>
      <c r="G103" s="24" t="n">
        <v>12</v>
      </c>
      <c r="H103" s="25" t="s">
        <v>1020</v>
      </c>
      <c r="I103" s="25" t="s">
        <v>1439</v>
      </c>
      <c r="J103" s="24" t="n">
        <v>180</v>
      </c>
      <c r="K103" s="25" t="s">
        <v>1440</v>
      </c>
      <c r="L103" s="25" t="s">
        <v>1441</v>
      </c>
      <c r="M103" s="25" t="s">
        <v>1442</v>
      </c>
      <c r="N103" s="24" t="s">
        <v>191</v>
      </c>
      <c r="O103" s="24" t="s">
        <v>56</v>
      </c>
    </row>
    <row r="104" customFormat="false" ht="23.85" hidden="false" customHeight="false" outlineLevel="0" collapsed="false">
      <c r="A104" s="23" t="s">
        <v>1443</v>
      </c>
      <c r="B104" s="24" t="s">
        <v>758</v>
      </c>
      <c r="C104" s="25" t="s">
        <v>759</v>
      </c>
      <c r="D104" s="25" t="str">
        <f aca="false">IFERROR(INDEX(Equipements!$B$6:$B$200,MATCH($B104,Equipements!$A$6:$A$200,0)),"?")</f>
        <v>Jardin &amp; piscine</v>
      </c>
      <c r="E104" s="26" t="s">
        <v>1444</v>
      </c>
      <c r="F104" s="24" t="s">
        <v>922</v>
      </c>
      <c r="G104" s="24" t="n">
        <v>3</v>
      </c>
      <c r="H104" s="25" t="s">
        <v>1445</v>
      </c>
      <c r="I104" s="25" t="s">
        <v>1417</v>
      </c>
      <c r="J104" s="24" t="n">
        <v>30</v>
      </c>
      <c r="K104" s="25" t="s">
        <v>1446</v>
      </c>
      <c r="L104" s="25" t="s">
        <v>1447</v>
      </c>
      <c r="M104" s="25" t="s">
        <v>1448</v>
      </c>
      <c r="N104" s="24" t="s">
        <v>191</v>
      </c>
      <c r="O104" s="24" t="s">
        <v>56</v>
      </c>
    </row>
    <row r="105" customFormat="false" ht="23.85" hidden="false" customHeight="false" outlineLevel="0" collapsed="false">
      <c r="A105" s="17" t="s">
        <v>1449</v>
      </c>
      <c r="B105" s="16" t="s">
        <v>775</v>
      </c>
      <c r="C105" s="19" t="s">
        <v>776</v>
      </c>
      <c r="D105" s="19" t="str">
        <f aca="false">IFERROR(INDEX(Equipements!$B$6:$B$200,MATCH($B105,Equipements!$A$6:$A$200,0)),"?")</f>
        <v>Jardin &amp; piscine</v>
      </c>
      <c r="E105" s="18" t="s">
        <v>1450</v>
      </c>
      <c r="F105" s="16" t="s">
        <v>922</v>
      </c>
      <c r="G105" s="16" t="n">
        <v>1</v>
      </c>
      <c r="H105" s="19" t="s">
        <v>923</v>
      </c>
      <c r="I105" s="19" t="s">
        <v>924</v>
      </c>
      <c r="J105" s="16" t="n">
        <v>5</v>
      </c>
      <c r="K105" s="19" t="s">
        <v>1022</v>
      </c>
      <c r="L105" s="19" t="s">
        <v>1451</v>
      </c>
      <c r="M105" s="19" t="s">
        <v>1452</v>
      </c>
      <c r="N105" s="17" t="s">
        <v>97</v>
      </c>
      <c r="O105" s="16" t="s">
        <v>56</v>
      </c>
    </row>
    <row r="106" customFormat="false" ht="23.85" hidden="false" customHeight="false" outlineLevel="0" collapsed="false">
      <c r="A106" s="23" t="s">
        <v>1453</v>
      </c>
      <c r="B106" s="24" t="s">
        <v>783</v>
      </c>
      <c r="C106" s="25" t="s">
        <v>784</v>
      </c>
      <c r="D106" s="25" t="str">
        <f aca="false">IFERROR(INDEX(Equipements!$B$6:$B$200,MATCH($B106,Equipements!$A$6:$A$200,0)),"?")</f>
        <v>Jardin &amp; piscine</v>
      </c>
      <c r="E106" s="26" t="s">
        <v>1454</v>
      </c>
      <c r="F106" s="24" t="s">
        <v>922</v>
      </c>
      <c r="G106" s="24" t="n">
        <v>3</v>
      </c>
      <c r="H106" s="25" t="s">
        <v>1455</v>
      </c>
      <c r="I106" s="25" t="s">
        <v>924</v>
      </c>
      <c r="J106" s="24" t="n">
        <v>90</v>
      </c>
      <c r="K106" s="25" t="s">
        <v>1456</v>
      </c>
      <c r="L106" s="25" t="s">
        <v>1457</v>
      </c>
      <c r="M106" s="25" t="s">
        <v>1458</v>
      </c>
      <c r="N106" s="24" t="s">
        <v>191</v>
      </c>
      <c r="O106" s="24" t="s">
        <v>56</v>
      </c>
    </row>
    <row r="107" customFormat="false" ht="23.85" hidden="false" customHeight="false" outlineLevel="0" collapsed="false">
      <c r="A107" s="23" t="s">
        <v>1459</v>
      </c>
      <c r="B107" s="24" t="s">
        <v>789</v>
      </c>
      <c r="C107" s="25" t="s">
        <v>791</v>
      </c>
      <c r="D107" s="25" t="str">
        <f aca="false">IFERROR(INDEX(Equipements!$B$6:$B$200,MATCH($B107,Equipements!$A$6:$A$200,0)),"?")</f>
        <v>Jardin &amp; piscine</v>
      </c>
      <c r="E107" s="26" t="s">
        <v>1460</v>
      </c>
      <c r="F107" s="24" t="s">
        <v>922</v>
      </c>
      <c r="G107" s="24" t="n">
        <v>12</v>
      </c>
      <c r="H107" s="25" t="s">
        <v>1020</v>
      </c>
      <c r="I107" s="25" t="s">
        <v>1461</v>
      </c>
      <c r="J107" s="24" t="n">
        <v>60</v>
      </c>
      <c r="K107" s="25" t="s">
        <v>1462</v>
      </c>
      <c r="L107" s="25" t="s">
        <v>1463</v>
      </c>
      <c r="M107" s="25" t="s">
        <v>1464</v>
      </c>
      <c r="N107" s="24" t="s">
        <v>191</v>
      </c>
      <c r="O107" s="24" t="s">
        <v>56</v>
      </c>
    </row>
    <row r="108" customFormat="false" ht="23.85" hidden="false" customHeight="false" outlineLevel="0" collapsed="false">
      <c r="A108" s="23" t="s">
        <v>1465</v>
      </c>
      <c r="B108" s="24" t="s">
        <v>789</v>
      </c>
      <c r="C108" s="25" t="s">
        <v>791</v>
      </c>
      <c r="D108" s="25" t="str">
        <f aca="false">IFERROR(INDEX(Equipements!$B$6:$B$200,MATCH($B108,Equipements!$A$6:$A$200,0)),"?")</f>
        <v>Jardin &amp; piscine</v>
      </c>
      <c r="E108" s="26" t="s">
        <v>1466</v>
      </c>
      <c r="F108" s="24" t="s">
        <v>922</v>
      </c>
      <c r="G108" s="24" t="n">
        <v>12</v>
      </c>
      <c r="H108" s="25" t="s">
        <v>1020</v>
      </c>
      <c r="I108" s="25" t="s">
        <v>1021</v>
      </c>
      <c r="J108" s="24" t="n">
        <v>30</v>
      </c>
      <c r="K108" s="25" t="s">
        <v>1467</v>
      </c>
      <c r="L108" s="25" t="s">
        <v>1468</v>
      </c>
      <c r="M108" s="25" t="s">
        <v>1469</v>
      </c>
      <c r="N108" s="24" t="s">
        <v>191</v>
      </c>
      <c r="O108" s="24" t="s">
        <v>56</v>
      </c>
    </row>
    <row r="109" customFormat="false" ht="23.85" hidden="false" customHeight="false" outlineLevel="0" collapsed="false">
      <c r="A109" s="23" t="s">
        <v>1470</v>
      </c>
      <c r="B109" s="24" t="s">
        <v>798</v>
      </c>
      <c r="C109" s="25" t="s">
        <v>799</v>
      </c>
      <c r="D109" s="25" t="str">
        <f aca="false">IFERROR(INDEX(Equipements!$B$6:$B$200,MATCH($B109,Equipements!$A$6:$A$200,0)),"?")</f>
        <v>Jardin &amp; piscine</v>
      </c>
      <c r="E109" s="26" t="s">
        <v>1471</v>
      </c>
      <c r="F109" s="24" t="s">
        <v>922</v>
      </c>
      <c r="G109" s="24" t="n">
        <v>2.5</v>
      </c>
      <c r="H109" s="25" t="s">
        <v>1472</v>
      </c>
      <c r="I109" s="25" t="s">
        <v>1473</v>
      </c>
      <c r="J109" s="24" t="n">
        <v>15</v>
      </c>
      <c r="K109" s="25" t="s">
        <v>1474</v>
      </c>
      <c r="L109" s="25" t="s">
        <v>1475</v>
      </c>
      <c r="M109" s="25" t="s">
        <v>1476</v>
      </c>
      <c r="N109" s="24" t="s">
        <v>191</v>
      </c>
      <c r="O109" s="24" t="s">
        <v>56</v>
      </c>
    </row>
    <row r="110" customFormat="false" ht="23.85" hidden="false" customHeight="false" outlineLevel="0" collapsed="false">
      <c r="A110" s="23" t="s">
        <v>1477</v>
      </c>
      <c r="B110" s="24" t="s">
        <v>808</v>
      </c>
      <c r="C110" s="25" t="s">
        <v>809</v>
      </c>
      <c r="D110" s="25" t="str">
        <f aca="false">IFERROR(INDEX(Equipements!$B$6:$B$200,MATCH($B110,Equipements!$A$6:$A$200,0)),"?")</f>
        <v>Jardin &amp; piscine</v>
      </c>
      <c r="E110" s="26" t="s">
        <v>1478</v>
      </c>
      <c r="F110" s="24" t="s">
        <v>922</v>
      </c>
      <c r="G110" s="24" t="n">
        <v>12</v>
      </c>
      <c r="H110" s="25" t="s">
        <v>1020</v>
      </c>
      <c r="I110" s="25" t="s">
        <v>1021</v>
      </c>
      <c r="J110" s="24" t="n">
        <v>20</v>
      </c>
      <c r="K110" s="25" t="s">
        <v>1479</v>
      </c>
      <c r="L110" s="25" t="s">
        <v>1480</v>
      </c>
      <c r="M110" s="25" t="s">
        <v>1481</v>
      </c>
      <c r="N110" s="24" t="s">
        <v>191</v>
      </c>
      <c r="O110" s="24" t="s">
        <v>56</v>
      </c>
    </row>
    <row r="111" customFormat="false" ht="23.85" hidden="false" customHeight="false" outlineLevel="0" collapsed="false">
      <c r="A111" s="23" t="s">
        <v>1482</v>
      </c>
      <c r="B111" s="24" t="s">
        <v>814</v>
      </c>
      <c r="C111" s="25" t="s">
        <v>815</v>
      </c>
      <c r="D111" s="25" t="str">
        <f aca="false">IFERROR(INDEX(Equipements!$B$6:$B$200,MATCH($B111,Equipements!$A$6:$A$200,0)),"?")</f>
        <v>Jardin &amp; piscine</v>
      </c>
      <c r="E111" s="26" t="s">
        <v>1483</v>
      </c>
      <c r="F111" s="24" t="s">
        <v>922</v>
      </c>
      <c r="G111" s="24" t="n">
        <v>12</v>
      </c>
      <c r="H111" s="25" t="s">
        <v>1020</v>
      </c>
      <c r="I111" s="25" t="s">
        <v>1021</v>
      </c>
      <c r="J111" s="24" t="n">
        <v>60</v>
      </c>
      <c r="K111" s="25" t="s">
        <v>1484</v>
      </c>
      <c r="L111" s="25" t="s">
        <v>1485</v>
      </c>
      <c r="M111" s="25" t="s">
        <v>1486</v>
      </c>
      <c r="N111" s="24" t="s">
        <v>191</v>
      </c>
      <c r="O111" s="24" t="s">
        <v>56</v>
      </c>
    </row>
    <row r="112" customFormat="false" ht="23.85" hidden="false" customHeight="false" outlineLevel="0" collapsed="false">
      <c r="A112" s="23" t="s">
        <v>1487</v>
      </c>
      <c r="B112" s="24" t="s">
        <v>814</v>
      </c>
      <c r="C112" s="25" t="s">
        <v>815</v>
      </c>
      <c r="D112" s="25" t="str">
        <f aca="false">IFERROR(INDEX(Equipements!$B$6:$B$200,MATCH($B112,Equipements!$A$6:$A$200,0)),"?")</f>
        <v>Jardin &amp; piscine</v>
      </c>
      <c r="E112" s="26" t="s">
        <v>1488</v>
      </c>
      <c r="F112" s="24" t="s">
        <v>922</v>
      </c>
      <c r="G112" s="24" t="n">
        <v>12</v>
      </c>
      <c r="H112" s="25" t="s">
        <v>1020</v>
      </c>
      <c r="I112" s="25" t="s">
        <v>1489</v>
      </c>
      <c r="J112" s="24" t="n">
        <v>45</v>
      </c>
      <c r="K112" s="25" t="s">
        <v>1022</v>
      </c>
      <c r="L112" s="25" t="s">
        <v>1490</v>
      </c>
      <c r="M112" s="25" t="s">
        <v>1491</v>
      </c>
      <c r="N112" s="24" t="s">
        <v>191</v>
      </c>
      <c r="O112" s="24" t="s">
        <v>56</v>
      </c>
    </row>
    <row r="113" customFormat="false" ht="23.85" hidden="false" customHeight="false" outlineLevel="0" collapsed="false">
      <c r="A113" s="23" t="s">
        <v>1492</v>
      </c>
      <c r="B113" s="24" t="s">
        <v>819</v>
      </c>
      <c r="C113" s="25" t="s">
        <v>820</v>
      </c>
      <c r="D113" s="25" t="str">
        <f aca="false">IFERROR(INDEX(Equipements!$B$6:$B$200,MATCH($B113,Equipements!$A$6:$A$200,0)),"?")</f>
        <v>Jardin &amp; piscine</v>
      </c>
      <c r="E113" s="26" t="s">
        <v>1493</v>
      </c>
      <c r="F113" s="24" t="s">
        <v>922</v>
      </c>
      <c r="G113" s="24" t="n">
        <v>12</v>
      </c>
      <c r="H113" s="25" t="s">
        <v>1020</v>
      </c>
      <c r="I113" s="25" t="s">
        <v>1494</v>
      </c>
      <c r="J113" s="24" t="n">
        <v>20</v>
      </c>
      <c r="K113" s="25" t="s">
        <v>1111</v>
      </c>
      <c r="L113" s="25" t="s">
        <v>1495</v>
      </c>
      <c r="M113" s="25" t="s">
        <v>822</v>
      </c>
      <c r="N113" s="24" t="s">
        <v>191</v>
      </c>
      <c r="O113" s="24" t="s">
        <v>56</v>
      </c>
    </row>
    <row r="114" customFormat="false" ht="23.85" hidden="false" customHeight="false" outlineLevel="0" collapsed="false">
      <c r="A114" s="23" t="s">
        <v>1496</v>
      </c>
      <c r="B114" s="24" t="s">
        <v>838</v>
      </c>
      <c r="C114" s="25" t="s">
        <v>839</v>
      </c>
      <c r="D114" s="25" t="str">
        <f aca="false">IFERROR(INDEX(Equipements!$B$6:$B$200,MATCH($B114,Equipements!$A$6:$A$200,0)),"?")</f>
        <v>Maison &amp; securite</v>
      </c>
      <c r="E114" s="26" t="s">
        <v>1497</v>
      </c>
      <c r="F114" s="24" t="s">
        <v>922</v>
      </c>
      <c r="G114" s="24" t="n">
        <v>6</v>
      </c>
      <c r="H114" s="25" t="s">
        <v>1498</v>
      </c>
      <c r="I114" s="25" t="s">
        <v>1499</v>
      </c>
      <c r="J114" s="24" t="n">
        <v>90</v>
      </c>
      <c r="K114" s="25" t="s">
        <v>1500</v>
      </c>
      <c r="L114" s="25" t="s">
        <v>1501</v>
      </c>
      <c r="M114" s="25" t="s">
        <v>1502</v>
      </c>
      <c r="N114" s="24" t="s">
        <v>191</v>
      </c>
      <c r="O114" s="24" t="s">
        <v>56</v>
      </c>
    </row>
    <row r="115" customFormat="false" ht="35.05" hidden="false" customHeight="false" outlineLevel="0" collapsed="false">
      <c r="A115" s="23" t="s">
        <v>1503</v>
      </c>
      <c r="B115" s="24" t="s">
        <v>830</v>
      </c>
      <c r="C115" s="25" t="s">
        <v>832</v>
      </c>
      <c r="D115" s="25" t="str">
        <f aca="false">IFERROR(INDEX(Equipements!$B$6:$B$200,MATCH($B115,Equipements!$A$6:$A$200,0)),"?")</f>
        <v>Maison &amp; securite</v>
      </c>
      <c r="E115" s="26" t="s">
        <v>1504</v>
      </c>
      <c r="F115" s="24" t="s">
        <v>922</v>
      </c>
      <c r="G115" s="24" t="n">
        <v>12</v>
      </c>
      <c r="H115" s="25" t="s">
        <v>1020</v>
      </c>
      <c r="I115" s="25" t="s">
        <v>1505</v>
      </c>
      <c r="J115" s="24" t="n">
        <v>30</v>
      </c>
      <c r="K115" s="25" t="s">
        <v>1506</v>
      </c>
      <c r="L115" s="25" t="s">
        <v>1507</v>
      </c>
      <c r="M115" s="25" t="s">
        <v>1508</v>
      </c>
      <c r="N115" s="24" t="s">
        <v>191</v>
      </c>
      <c r="O115" s="24" t="s">
        <v>56</v>
      </c>
    </row>
    <row r="116" customFormat="false" ht="23.85" hidden="false" customHeight="false" outlineLevel="0" collapsed="false">
      <c r="A116" s="13" t="s">
        <v>1509</v>
      </c>
      <c r="B116" s="27" t="s">
        <v>830</v>
      </c>
      <c r="C116" s="28" t="s">
        <v>832</v>
      </c>
      <c r="D116" s="28" t="str">
        <f aca="false">IFERROR(INDEX(Equipements!$B$6:$B$200,MATCH($B116,Equipements!$A$6:$A$200,0)),"?")</f>
        <v>Maison &amp; securite</v>
      </c>
      <c r="E116" s="12" t="s">
        <v>1510</v>
      </c>
      <c r="F116" s="27" t="s">
        <v>201</v>
      </c>
      <c r="G116" s="27" t="n">
        <v>84</v>
      </c>
      <c r="H116" s="28" t="s">
        <v>1063</v>
      </c>
      <c r="I116" s="28" t="s">
        <v>1009</v>
      </c>
      <c r="J116" s="27" t="n">
        <v>480</v>
      </c>
      <c r="K116" s="28" t="s">
        <v>1511</v>
      </c>
      <c r="L116" s="28" t="s">
        <v>1512</v>
      </c>
      <c r="M116" s="28" t="s">
        <v>1513</v>
      </c>
      <c r="N116" s="27" t="s">
        <v>191</v>
      </c>
      <c r="O116" s="27" t="s">
        <v>60</v>
      </c>
    </row>
    <row r="117" customFormat="false" ht="23.85" hidden="false" customHeight="false" outlineLevel="0" collapsed="false">
      <c r="A117" s="23" t="s">
        <v>1514</v>
      </c>
      <c r="B117" s="24" t="s">
        <v>850</v>
      </c>
      <c r="C117" s="25" t="s">
        <v>851</v>
      </c>
      <c r="D117" s="25" t="str">
        <f aca="false">IFERROR(INDEX(Equipements!$B$6:$B$200,MATCH($B117,Equipements!$A$6:$A$200,0)),"?")</f>
        <v>Maison &amp; securite</v>
      </c>
      <c r="E117" s="26" t="s">
        <v>1515</v>
      </c>
      <c r="F117" s="24" t="s">
        <v>922</v>
      </c>
      <c r="G117" s="24" t="n">
        <v>12</v>
      </c>
      <c r="H117" s="25" t="s">
        <v>1020</v>
      </c>
      <c r="I117" s="25" t="s">
        <v>1516</v>
      </c>
      <c r="J117" s="24" t="n">
        <v>240</v>
      </c>
      <c r="K117" s="25" t="s">
        <v>1517</v>
      </c>
      <c r="L117" s="25" t="s">
        <v>1518</v>
      </c>
      <c r="M117" s="25" t="s">
        <v>1519</v>
      </c>
      <c r="N117" s="24" t="s">
        <v>191</v>
      </c>
      <c r="O117" s="24" t="s">
        <v>56</v>
      </c>
    </row>
    <row r="118" customFormat="false" ht="35.05" hidden="false" customHeight="false" outlineLevel="0" collapsed="false">
      <c r="A118" s="13" t="s">
        <v>1520</v>
      </c>
      <c r="B118" s="27" t="s">
        <v>855</v>
      </c>
      <c r="C118" s="28" t="s">
        <v>856</v>
      </c>
      <c r="D118" s="28" t="str">
        <f aca="false">IFERROR(INDEX(Equipements!$B$6:$B$200,MATCH($B118,Equipements!$A$6:$A$200,0)),"?")</f>
        <v>Maison &amp; securite</v>
      </c>
      <c r="E118" s="12" t="s">
        <v>1521</v>
      </c>
      <c r="F118" s="27" t="s">
        <v>201</v>
      </c>
      <c r="G118" s="27" t="n">
        <v>48</v>
      </c>
      <c r="H118" s="28" t="s">
        <v>1522</v>
      </c>
      <c r="I118" s="28" t="s">
        <v>924</v>
      </c>
      <c r="J118" s="27" t="n">
        <v>90</v>
      </c>
      <c r="K118" s="28" t="s">
        <v>1523</v>
      </c>
      <c r="L118" s="28" t="s">
        <v>1524</v>
      </c>
      <c r="M118" s="28" t="s">
        <v>1525</v>
      </c>
      <c r="N118" s="27" t="s">
        <v>224</v>
      </c>
      <c r="O118" s="27" t="s">
        <v>60</v>
      </c>
    </row>
    <row r="119" customFormat="false" ht="23.85" hidden="false" customHeight="false" outlineLevel="0" collapsed="false">
      <c r="A119" s="23" t="s">
        <v>1526</v>
      </c>
      <c r="B119" s="24" t="s">
        <v>862</v>
      </c>
      <c r="C119" s="25" t="s">
        <v>863</v>
      </c>
      <c r="D119" s="25" t="str">
        <f aca="false">IFERROR(INDEX(Equipements!$B$6:$B$200,MATCH($B119,Equipements!$A$6:$A$200,0)),"?")</f>
        <v>Maison &amp; securite</v>
      </c>
      <c r="E119" s="26" t="s">
        <v>1527</v>
      </c>
      <c r="F119" s="24" t="s">
        <v>922</v>
      </c>
      <c r="G119" s="24" t="n">
        <v>12</v>
      </c>
      <c r="H119" s="25" t="s">
        <v>1020</v>
      </c>
      <c r="I119" s="25" t="s">
        <v>1528</v>
      </c>
      <c r="J119" s="24" t="n">
        <v>20</v>
      </c>
      <c r="K119" s="25" t="s">
        <v>1398</v>
      </c>
      <c r="L119" s="25" t="s">
        <v>1529</v>
      </c>
      <c r="M119" s="25" t="s">
        <v>1530</v>
      </c>
      <c r="N119" s="24" t="s">
        <v>191</v>
      </c>
      <c r="O119" s="24" t="s">
        <v>56</v>
      </c>
    </row>
    <row r="120" customFormat="false" ht="23.85" hidden="false" customHeight="false" outlineLevel="0" collapsed="false">
      <c r="A120" s="23" t="s">
        <v>1531</v>
      </c>
      <c r="B120" s="24" t="s">
        <v>866</v>
      </c>
      <c r="C120" s="25" t="s">
        <v>867</v>
      </c>
      <c r="D120" s="25" t="str">
        <f aca="false">IFERROR(INDEX(Equipements!$B$6:$B$200,MATCH($B120,Equipements!$A$6:$A$200,0)),"?")</f>
        <v>Maison &amp; securite</v>
      </c>
      <c r="E120" s="26" t="s">
        <v>1532</v>
      </c>
      <c r="F120" s="24" t="s">
        <v>922</v>
      </c>
      <c r="G120" s="24" t="n">
        <v>12</v>
      </c>
      <c r="H120" s="25" t="s">
        <v>1020</v>
      </c>
      <c r="I120" s="25" t="s">
        <v>1528</v>
      </c>
      <c r="J120" s="24" t="n">
        <v>15</v>
      </c>
      <c r="K120" s="25" t="s">
        <v>1533</v>
      </c>
      <c r="L120" s="25" t="s">
        <v>1534</v>
      </c>
      <c r="M120" s="25" t="s">
        <v>1535</v>
      </c>
      <c r="N120" s="24" t="s">
        <v>191</v>
      </c>
      <c r="O120" s="24" t="s">
        <v>56</v>
      </c>
    </row>
    <row r="121" customFormat="false" ht="35.05" hidden="false" customHeight="false" outlineLevel="0" collapsed="false">
      <c r="A121" s="23" t="s">
        <v>1536</v>
      </c>
      <c r="B121" s="24" t="s">
        <v>610</v>
      </c>
      <c r="C121" s="25" t="s">
        <v>611</v>
      </c>
      <c r="D121" s="25" t="str">
        <f aca="false">IFERROR(INDEX(Equipements!$B$6:$B$200,MATCH($B121,Equipements!$A$6:$A$200,0)),"?")</f>
        <v>Energie</v>
      </c>
      <c r="E121" s="26" t="s">
        <v>1537</v>
      </c>
      <c r="F121" s="24" t="s">
        <v>922</v>
      </c>
      <c r="G121" s="24" t="n">
        <v>12</v>
      </c>
      <c r="H121" s="25" t="s">
        <v>1020</v>
      </c>
      <c r="I121" s="25" t="s">
        <v>1538</v>
      </c>
      <c r="J121" s="24" t="n">
        <v>30</v>
      </c>
      <c r="K121" s="25" t="s">
        <v>1539</v>
      </c>
      <c r="L121" s="25" t="s">
        <v>1540</v>
      </c>
      <c r="M121" s="25" t="s">
        <v>1541</v>
      </c>
      <c r="N121" s="24" t="s">
        <v>191</v>
      </c>
      <c r="O121" s="24" t="s">
        <v>58</v>
      </c>
    </row>
    <row r="122" customFormat="false" ht="23.85" hidden="false" customHeight="false" outlineLevel="0" collapsed="false">
      <c r="A122" s="23" t="s">
        <v>1542</v>
      </c>
      <c r="B122" s="24" t="s">
        <v>294</v>
      </c>
      <c r="C122" s="25" t="s">
        <v>296</v>
      </c>
      <c r="D122" s="25" t="str">
        <f aca="false">IFERROR(INDEX(Equipements!$B$6:$B$200,MATCH($B122,Equipements!$A$6:$A$200,0)),"?")</f>
        <v>Chauffage &amp; climatisation</v>
      </c>
      <c r="E122" s="26" t="s">
        <v>1026</v>
      </c>
      <c r="F122" s="24" t="s">
        <v>922</v>
      </c>
      <c r="G122" s="24" t="n">
        <v>1</v>
      </c>
      <c r="H122" s="25" t="s">
        <v>966</v>
      </c>
      <c r="I122" s="25" t="s">
        <v>1417</v>
      </c>
      <c r="J122" s="24" t="n">
        <v>10</v>
      </c>
      <c r="K122" s="25" t="s">
        <v>1028</v>
      </c>
      <c r="L122" s="25" t="s">
        <v>1543</v>
      </c>
      <c r="M122" s="25" t="s">
        <v>1544</v>
      </c>
      <c r="N122" s="24" t="s">
        <v>191</v>
      </c>
      <c r="O122" s="24" t="s">
        <v>56</v>
      </c>
    </row>
    <row r="123" customFormat="false" ht="23.85" hidden="false" customHeight="false" outlineLevel="0" collapsed="false">
      <c r="A123" s="17" t="s">
        <v>1545</v>
      </c>
      <c r="B123" s="16" t="s">
        <v>294</v>
      </c>
      <c r="C123" s="19" t="s">
        <v>296</v>
      </c>
      <c r="D123" s="19" t="str">
        <f aca="false">IFERROR(INDEX(Equipements!$B$6:$B$200,MATCH($B123,Equipements!$A$6:$A$200,0)),"?")</f>
        <v>Chauffage &amp; climatisation</v>
      </c>
      <c r="E123" s="18" t="s">
        <v>1546</v>
      </c>
      <c r="F123" s="16" t="s">
        <v>201</v>
      </c>
      <c r="G123" s="16" t="n">
        <v>24</v>
      </c>
      <c r="H123" s="19" t="s">
        <v>169</v>
      </c>
      <c r="I123" s="19" t="s">
        <v>1547</v>
      </c>
      <c r="J123" s="16" t="n">
        <v>90</v>
      </c>
      <c r="K123" s="19" t="s">
        <v>297</v>
      </c>
      <c r="L123" s="19" t="s">
        <v>1548</v>
      </c>
      <c r="M123" s="19" t="s">
        <v>1549</v>
      </c>
      <c r="N123" s="17" t="s">
        <v>97</v>
      </c>
      <c r="O123" s="16" t="s">
        <v>56</v>
      </c>
    </row>
    <row r="124" customFormat="false" ht="23.85" hidden="false" customHeight="false" outlineLevel="0" collapsed="false">
      <c r="A124" s="23" t="s">
        <v>1550</v>
      </c>
      <c r="B124" s="24" t="s">
        <v>294</v>
      </c>
      <c r="C124" s="25" t="s">
        <v>296</v>
      </c>
      <c r="D124" s="25" t="str">
        <f aca="false">IFERROR(INDEX(Equipements!$B$6:$B$200,MATCH($B124,Equipements!$A$6:$A$200,0)),"?")</f>
        <v>Chauffage &amp; climatisation</v>
      </c>
      <c r="E124" s="26" t="s">
        <v>1551</v>
      </c>
      <c r="F124" s="24" t="s">
        <v>922</v>
      </c>
      <c r="G124" s="24" t="n">
        <v>12</v>
      </c>
      <c r="H124" s="25" t="s">
        <v>1020</v>
      </c>
      <c r="I124" s="25" t="s">
        <v>1494</v>
      </c>
      <c r="J124" s="24" t="n">
        <v>15</v>
      </c>
      <c r="K124" s="25" t="s">
        <v>1552</v>
      </c>
      <c r="L124" s="25" t="s">
        <v>1553</v>
      </c>
      <c r="M124" s="25" t="s">
        <v>1554</v>
      </c>
      <c r="N124" s="24" t="s">
        <v>191</v>
      </c>
      <c r="O124" s="24" t="s">
        <v>56</v>
      </c>
    </row>
    <row r="125" customFormat="false" ht="23.85" hidden="false" customHeight="false" outlineLevel="0" collapsed="false">
      <c r="A125" s="23" t="s">
        <v>1555</v>
      </c>
      <c r="B125" s="24" t="s">
        <v>299</v>
      </c>
      <c r="C125" s="25" t="s">
        <v>300</v>
      </c>
      <c r="D125" s="25" t="str">
        <f aca="false">IFERROR(INDEX(Equipements!$B$6:$B$200,MATCH($B125,Equipements!$A$6:$A$200,0)),"?")</f>
        <v>Chauffage &amp; climatisation</v>
      </c>
      <c r="E125" s="26" t="s">
        <v>1556</v>
      </c>
      <c r="F125" s="24" t="s">
        <v>922</v>
      </c>
      <c r="G125" s="24" t="n">
        <v>1</v>
      </c>
      <c r="H125" s="25" t="s">
        <v>1557</v>
      </c>
      <c r="I125" s="25" t="s">
        <v>1558</v>
      </c>
      <c r="J125" s="24" t="n">
        <v>10</v>
      </c>
      <c r="K125" s="25" t="s">
        <v>1559</v>
      </c>
      <c r="L125" s="25" t="s">
        <v>1560</v>
      </c>
      <c r="M125" s="25" t="s">
        <v>1561</v>
      </c>
      <c r="N125" s="24" t="s">
        <v>191</v>
      </c>
      <c r="O125" s="24" t="s">
        <v>56</v>
      </c>
    </row>
    <row r="126" customFormat="false" ht="23.85" hidden="false" customHeight="false" outlineLevel="0" collapsed="false">
      <c r="A126" s="17" t="s">
        <v>1562</v>
      </c>
      <c r="B126" s="16" t="s">
        <v>306</v>
      </c>
      <c r="C126" s="19" t="s">
        <v>307</v>
      </c>
      <c r="D126" s="19" t="str">
        <f aca="false">IFERROR(INDEX(Equipements!$B$6:$B$200,MATCH($B126,Equipements!$A$6:$A$200,0)),"?")</f>
        <v>Chauffage &amp; climatisation</v>
      </c>
      <c r="E126" s="18" t="s">
        <v>1563</v>
      </c>
      <c r="F126" s="16" t="s">
        <v>201</v>
      </c>
      <c r="G126" s="16" t="n">
        <v>12</v>
      </c>
      <c r="H126" s="19" t="s">
        <v>915</v>
      </c>
      <c r="I126" s="19" t="s">
        <v>924</v>
      </c>
      <c r="J126" s="16" t="n">
        <v>60</v>
      </c>
      <c r="K126" s="19" t="s">
        <v>1564</v>
      </c>
      <c r="L126" s="19" t="s">
        <v>1565</v>
      </c>
      <c r="M126" s="19" t="s">
        <v>1566</v>
      </c>
      <c r="N126" s="17" t="s">
        <v>97</v>
      </c>
      <c r="O126" s="16" t="s">
        <v>58</v>
      </c>
    </row>
    <row r="127" customFormat="false" ht="23.85" hidden="false" customHeight="false" outlineLevel="0" collapsed="false">
      <c r="A127" s="17" t="s">
        <v>1567</v>
      </c>
      <c r="B127" s="16" t="s">
        <v>182</v>
      </c>
      <c r="C127" s="19" t="s">
        <v>183</v>
      </c>
      <c r="D127" s="19" t="str">
        <f aca="false">IFERROR(INDEX(Equipements!$B$6:$B$200,MATCH($B127,Equipements!$A$6:$A$200,0)),"?")</f>
        <v>Chauffage &amp; climatisation</v>
      </c>
      <c r="E127" s="18" t="s">
        <v>1568</v>
      </c>
      <c r="F127" s="16" t="s">
        <v>201</v>
      </c>
      <c r="G127" s="16" t="n">
        <v>24</v>
      </c>
      <c r="H127" s="19" t="s">
        <v>169</v>
      </c>
      <c r="I127" s="19" t="s">
        <v>1033</v>
      </c>
      <c r="J127" s="16" t="n">
        <v>120</v>
      </c>
      <c r="K127" s="19" t="s">
        <v>1569</v>
      </c>
      <c r="L127" s="19" t="s">
        <v>1570</v>
      </c>
      <c r="M127" s="19" t="s">
        <v>1571</v>
      </c>
      <c r="N127" s="17" t="s">
        <v>97</v>
      </c>
      <c r="O127" s="16" t="s">
        <v>56</v>
      </c>
    </row>
    <row r="128" customFormat="false" ht="23.85" hidden="false" customHeight="false" outlineLevel="0" collapsed="false">
      <c r="A128" s="23" t="s">
        <v>1572</v>
      </c>
      <c r="B128" s="24" t="s">
        <v>206</v>
      </c>
      <c r="C128" s="25" t="s">
        <v>207</v>
      </c>
      <c r="D128" s="25" t="str">
        <f aca="false">IFERROR(INDEX(Equipements!$B$6:$B$200,MATCH($B128,Equipements!$A$6:$A$200,0)),"?")</f>
        <v>Chauffage &amp; climatisation</v>
      </c>
      <c r="E128" s="26" t="s">
        <v>1573</v>
      </c>
      <c r="F128" s="24" t="s">
        <v>922</v>
      </c>
      <c r="G128" s="24" t="n">
        <v>12</v>
      </c>
      <c r="H128" s="25" t="s">
        <v>1020</v>
      </c>
      <c r="I128" s="25" t="s">
        <v>1057</v>
      </c>
      <c r="J128" s="24" t="n">
        <v>20</v>
      </c>
      <c r="K128" s="25" t="s">
        <v>1574</v>
      </c>
      <c r="L128" s="25" t="s">
        <v>1575</v>
      </c>
      <c r="M128" s="25" t="s">
        <v>1576</v>
      </c>
      <c r="N128" s="24" t="s">
        <v>191</v>
      </c>
      <c r="O128" s="24" t="s">
        <v>56</v>
      </c>
    </row>
    <row r="129" customFormat="false" ht="23.85" hidden="false" customHeight="false" outlineLevel="0" collapsed="false">
      <c r="A129" s="17" t="s">
        <v>1577</v>
      </c>
      <c r="B129" s="16" t="s">
        <v>232</v>
      </c>
      <c r="C129" s="19" t="s">
        <v>233</v>
      </c>
      <c r="D129" s="19" t="str">
        <f aca="false">IFERROR(INDEX(Equipements!$B$6:$B$200,MATCH($B129,Equipements!$A$6:$A$200,0)),"?")</f>
        <v>Chauffage &amp; climatisation</v>
      </c>
      <c r="E129" s="18" t="s">
        <v>1578</v>
      </c>
      <c r="F129" s="16" t="s">
        <v>201</v>
      </c>
      <c r="G129" s="16" t="n">
        <v>60</v>
      </c>
      <c r="H129" s="19" t="s">
        <v>1579</v>
      </c>
      <c r="I129" s="19" t="s">
        <v>1362</v>
      </c>
      <c r="J129" s="16" t="n">
        <v>60</v>
      </c>
      <c r="K129" s="19" t="s">
        <v>237</v>
      </c>
      <c r="L129" s="19" t="s">
        <v>1580</v>
      </c>
      <c r="M129" s="19" t="s">
        <v>1581</v>
      </c>
      <c r="N129" s="17" t="s">
        <v>97</v>
      </c>
      <c r="O129" s="16" t="s">
        <v>56</v>
      </c>
    </row>
    <row r="130" customFormat="false" ht="23.85" hidden="false" customHeight="false" outlineLevel="0" collapsed="false">
      <c r="A130" s="23" t="s">
        <v>1582</v>
      </c>
      <c r="B130" s="24" t="s">
        <v>244</v>
      </c>
      <c r="C130" s="25" t="s">
        <v>245</v>
      </c>
      <c r="D130" s="25" t="str">
        <f aca="false">IFERROR(INDEX(Equipements!$B$6:$B$200,MATCH($B130,Equipements!$A$6:$A$200,0)),"?")</f>
        <v>Chauffage &amp; climatisation</v>
      </c>
      <c r="E130" s="26" t="s">
        <v>1583</v>
      </c>
      <c r="F130" s="24" t="s">
        <v>922</v>
      </c>
      <c r="G130" s="24" t="n">
        <v>12</v>
      </c>
      <c r="H130" s="25" t="s">
        <v>1020</v>
      </c>
      <c r="I130" s="25" t="s">
        <v>1057</v>
      </c>
      <c r="J130" s="24" t="n">
        <v>5</v>
      </c>
      <c r="K130" s="25" t="s">
        <v>1584</v>
      </c>
      <c r="L130" s="25" t="s">
        <v>1585</v>
      </c>
      <c r="M130" s="25" t="s">
        <v>1586</v>
      </c>
      <c r="N130" s="24" t="s">
        <v>191</v>
      </c>
      <c r="O130" s="24" t="s">
        <v>56</v>
      </c>
    </row>
    <row r="131" customFormat="false" ht="23.85" hidden="false" customHeight="false" outlineLevel="0" collapsed="false">
      <c r="A131" s="17" t="s">
        <v>1587</v>
      </c>
      <c r="B131" s="16" t="s">
        <v>264</v>
      </c>
      <c r="C131" s="19" t="s">
        <v>265</v>
      </c>
      <c r="D131" s="19" t="str">
        <f aca="false">IFERROR(INDEX(Equipements!$B$6:$B$200,MATCH($B131,Equipements!$A$6:$A$200,0)),"?")</f>
        <v>Chauffage &amp; climatisation</v>
      </c>
      <c r="E131" s="18" t="s">
        <v>1588</v>
      </c>
      <c r="F131" s="16" t="s">
        <v>201</v>
      </c>
      <c r="G131" s="16" t="n">
        <v>12</v>
      </c>
      <c r="H131" s="19" t="s">
        <v>915</v>
      </c>
      <c r="I131" s="19" t="s">
        <v>936</v>
      </c>
      <c r="J131" s="16" t="n">
        <v>60</v>
      </c>
      <c r="K131" s="19" t="s">
        <v>1589</v>
      </c>
      <c r="L131" s="19" t="s">
        <v>1590</v>
      </c>
      <c r="M131" s="19" t="s">
        <v>1591</v>
      </c>
      <c r="N131" s="17" t="s">
        <v>97</v>
      </c>
      <c r="O131" s="16" t="s">
        <v>56</v>
      </c>
    </row>
    <row r="132" customFormat="false" ht="23.85" hidden="false" customHeight="false" outlineLevel="0" collapsed="false">
      <c r="A132" s="13" t="s">
        <v>1592</v>
      </c>
      <c r="B132" s="27" t="s">
        <v>279</v>
      </c>
      <c r="C132" s="28" t="s">
        <v>280</v>
      </c>
      <c r="D132" s="28" t="str">
        <f aca="false">IFERROR(INDEX(Equipements!$B$6:$B$200,MATCH($B132,Equipements!$A$6:$A$200,0)),"?")</f>
        <v>Chauffage &amp; climatisation</v>
      </c>
      <c r="E132" s="12" t="s">
        <v>1593</v>
      </c>
      <c r="F132" s="27" t="s">
        <v>201</v>
      </c>
      <c r="G132" s="27" t="n">
        <v>60</v>
      </c>
      <c r="H132" s="28" t="s">
        <v>1191</v>
      </c>
      <c r="I132" s="28" t="s">
        <v>924</v>
      </c>
      <c r="J132" s="27" t="n">
        <v>45</v>
      </c>
      <c r="K132" s="28" t="s">
        <v>1594</v>
      </c>
      <c r="L132" s="28" t="s">
        <v>1595</v>
      </c>
      <c r="M132" s="28" t="s">
        <v>1596</v>
      </c>
      <c r="N132" s="27" t="s">
        <v>191</v>
      </c>
      <c r="O132" s="27" t="s">
        <v>58</v>
      </c>
    </row>
    <row r="133" customFormat="false" ht="23.85" hidden="false" customHeight="false" outlineLevel="0" collapsed="false">
      <c r="A133" s="13" t="s">
        <v>1597</v>
      </c>
      <c r="B133" s="27" t="s">
        <v>346</v>
      </c>
      <c r="C133" s="28" t="s">
        <v>347</v>
      </c>
      <c r="D133" s="28" t="str">
        <f aca="false">IFERROR(INDEX(Equipements!$B$6:$B$200,MATCH($B133,Equipements!$A$6:$A$200,0)),"?")</f>
        <v>Chauffage &amp; climatisation</v>
      </c>
      <c r="E133" s="12" t="s">
        <v>1598</v>
      </c>
      <c r="F133" s="27" t="s">
        <v>201</v>
      </c>
      <c r="G133" s="27" t="n">
        <v>12</v>
      </c>
      <c r="H133" s="28" t="s">
        <v>1020</v>
      </c>
      <c r="I133" s="28" t="s">
        <v>1033</v>
      </c>
      <c r="J133" s="27" t="n">
        <v>45</v>
      </c>
      <c r="K133" s="28" t="s">
        <v>1599</v>
      </c>
      <c r="L133" s="28" t="s">
        <v>1600</v>
      </c>
      <c r="M133" s="28" t="s">
        <v>1601</v>
      </c>
      <c r="N133" s="27" t="s">
        <v>191</v>
      </c>
      <c r="O133" s="27" t="s">
        <v>58</v>
      </c>
    </row>
    <row r="134" customFormat="false" ht="23.85" hidden="false" customHeight="false" outlineLevel="0" collapsed="false">
      <c r="A134" s="23" t="s">
        <v>1602</v>
      </c>
      <c r="B134" s="24" t="s">
        <v>375</v>
      </c>
      <c r="C134" s="25" t="s">
        <v>376</v>
      </c>
      <c r="D134" s="25" t="str">
        <f aca="false">IFERROR(INDEX(Equipements!$B$6:$B$200,MATCH($B134,Equipements!$A$6:$A$200,0)),"?")</f>
        <v>Cuisine</v>
      </c>
      <c r="E134" s="26" t="s">
        <v>1603</v>
      </c>
      <c r="F134" s="24" t="s">
        <v>922</v>
      </c>
      <c r="G134" s="24" t="n">
        <v>12</v>
      </c>
      <c r="H134" s="25" t="s">
        <v>1020</v>
      </c>
      <c r="I134" s="25" t="s">
        <v>924</v>
      </c>
      <c r="J134" s="24" t="n">
        <v>10</v>
      </c>
      <c r="K134" s="25" t="s">
        <v>1262</v>
      </c>
      <c r="L134" s="25" t="s">
        <v>1604</v>
      </c>
      <c r="M134" s="25" t="s">
        <v>1605</v>
      </c>
      <c r="N134" s="24" t="s">
        <v>191</v>
      </c>
      <c r="O134" s="24" t="s">
        <v>56</v>
      </c>
    </row>
    <row r="135" customFormat="false" ht="23.85" hidden="false" customHeight="false" outlineLevel="0" collapsed="false">
      <c r="A135" s="23" t="s">
        <v>1606</v>
      </c>
      <c r="B135" s="24" t="s">
        <v>404</v>
      </c>
      <c r="C135" s="25" t="s">
        <v>405</v>
      </c>
      <c r="D135" s="25" t="str">
        <f aca="false">IFERROR(INDEX(Equipements!$B$6:$B$200,MATCH($B135,Equipements!$A$6:$A$200,0)),"?")</f>
        <v>Buanderie</v>
      </c>
      <c r="E135" s="26" t="s">
        <v>1607</v>
      </c>
      <c r="F135" s="24" t="s">
        <v>922</v>
      </c>
      <c r="G135" s="24" t="n">
        <v>3</v>
      </c>
      <c r="H135" s="25" t="s">
        <v>1608</v>
      </c>
      <c r="I135" s="25" t="s">
        <v>924</v>
      </c>
      <c r="J135" s="24" t="n">
        <v>30</v>
      </c>
      <c r="K135" s="25" t="s">
        <v>1609</v>
      </c>
      <c r="L135" s="25" t="s">
        <v>1610</v>
      </c>
      <c r="M135" s="25" t="s">
        <v>1611</v>
      </c>
      <c r="N135" s="24" t="s">
        <v>191</v>
      </c>
      <c r="O135" s="24" t="s">
        <v>56</v>
      </c>
    </row>
    <row r="136" customFormat="false" ht="23.85" hidden="false" customHeight="false" outlineLevel="0" collapsed="false">
      <c r="A136" s="23" t="s">
        <v>1612</v>
      </c>
      <c r="B136" s="24" t="s">
        <v>416</v>
      </c>
      <c r="C136" s="25" t="s">
        <v>417</v>
      </c>
      <c r="D136" s="25" t="str">
        <f aca="false">IFERROR(INDEX(Equipements!$B$6:$B$200,MATCH($B136,Equipements!$A$6:$A$200,0)),"?")</f>
        <v>Cuisine</v>
      </c>
      <c r="E136" s="26" t="s">
        <v>1613</v>
      </c>
      <c r="F136" s="24" t="s">
        <v>922</v>
      </c>
      <c r="G136" s="24" t="n">
        <v>6</v>
      </c>
      <c r="H136" s="25" t="s">
        <v>709</v>
      </c>
      <c r="I136" s="25" t="s">
        <v>1014</v>
      </c>
      <c r="J136" s="24" t="n">
        <v>15</v>
      </c>
      <c r="K136" s="25" t="s">
        <v>1614</v>
      </c>
      <c r="L136" s="25" t="s">
        <v>1615</v>
      </c>
      <c r="M136" s="25" t="s">
        <v>1616</v>
      </c>
      <c r="N136" s="24" t="s">
        <v>191</v>
      </c>
      <c r="O136" s="24" t="s">
        <v>56</v>
      </c>
    </row>
    <row r="137" customFormat="false" ht="23.85" hidden="false" customHeight="false" outlineLevel="0" collapsed="false">
      <c r="A137" s="23" t="s">
        <v>1617</v>
      </c>
      <c r="B137" s="24" t="s">
        <v>441</v>
      </c>
      <c r="C137" s="25" t="s">
        <v>442</v>
      </c>
      <c r="D137" s="25" t="str">
        <f aca="false">IFERROR(INDEX(Equipements!$B$6:$B$200,MATCH($B137,Equipements!$A$6:$A$200,0)),"?")</f>
        <v>Cuisine</v>
      </c>
      <c r="E137" s="26" t="s">
        <v>1618</v>
      </c>
      <c r="F137" s="24" t="s">
        <v>922</v>
      </c>
      <c r="G137" s="24" t="n">
        <v>12</v>
      </c>
      <c r="H137" s="25" t="s">
        <v>1020</v>
      </c>
      <c r="I137" s="25" t="s">
        <v>924</v>
      </c>
      <c r="J137" s="24" t="n">
        <v>5</v>
      </c>
      <c r="K137" s="25" t="s">
        <v>1022</v>
      </c>
      <c r="L137" s="25" t="s">
        <v>1619</v>
      </c>
      <c r="M137" s="25" t="s">
        <v>1620</v>
      </c>
      <c r="N137" s="24" t="s">
        <v>191</v>
      </c>
      <c r="O137" s="24" t="s">
        <v>56</v>
      </c>
    </row>
    <row r="138" customFormat="false" ht="23.85" hidden="false" customHeight="false" outlineLevel="0" collapsed="false">
      <c r="A138" s="23" t="s">
        <v>1621</v>
      </c>
      <c r="B138" s="24" t="s">
        <v>468</v>
      </c>
      <c r="C138" s="25" t="s">
        <v>469</v>
      </c>
      <c r="D138" s="25" t="str">
        <f aca="false">IFERROR(INDEX(Equipements!$B$6:$B$200,MATCH($B138,Equipements!$A$6:$A$200,0)),"?")</f>
        <v>Petit electromenager</v>
      </c>
      <c r="E138" s="26" t="s">
        <v>1622</v>
      </c>
      <c r="F138" s="24" t="s">
        <v>922</v>
      </c>
      <c r="G138" s="24" t="n">
        <v>9</v>
      </c>
      <c r="H138" s="25" t="s">
        <v>1623</v>
      </c>
      <c r="I138" s="25" t="s">
        <v>924</v>
      </c>
      <c r="J138" s="24" t="n">
        <v>10</v>
      </c>
      <c r="K138" s="25" t="s">
        <v>1624</v>
      </c>
      <c r="L138" s="25" t="s">
        <v>1625</v>
      </c>
      <c r="M138" s="25" t="s">
        <v>1626</v>
      </c>
      <c r="N138" s="24" t="s">
        <v>191</v>
      </c>
      <c r="O138" s="24" t="s">
        <v>56</v>
      </c>
    </row>
    <row r="139" customFormat="false" ht="23.85" hidden="false" customHeight="false" outlineLevel="0" collapsed="false">
      <c r="A139" s="23" t="s">
        <v>1627</v>
      </c>
      <c r="B139" s="24" t="s">
        <v>476</v>
      </c>
      <c r="C139" s="25" t="s">
        <v>477</v>
      </c>
      <c r="D139" s="25" t="str">
        <f aca="false">IFERROR(INDEX(Equipements!$B$6:$B$200,MATCH($B139,Equipements!$A$6:$A$200,0)),"?")</f>
        <v>Petit electromenager</v>
      </c>
      <c r="E139" s="26" t="s">
        <v>1628</v>
      </c>
      <c r="F139" s="24" t="s">
        <v>922</v>
      </c>
      <c r="G139" s="24" t="n">
        <v>1</v>
      </c>
      <c r="H139" s="25" t="s">
        <v>1557</v>
      </c>
      <c r="I139" s="25" t="s">
        <v>942</v>
      </c>
      <c r="J139" s="24" t="n">
        <v>10</v>
      </c>
      <c r="K139" s="25" t="s">
        <v>1629</v>
      </c>
      <c r="L139" s="25" t="s">
        <v>1630</v>
      </c>
      <c r="M139" s="25" t="s">
        <v>1631</v>
      </c>
      <c r="N139" s="24" t="s">
        <v>191</v>
      </c>
      <c r="O139" s="24" t="s">
        <v>56</v>
      </c>
    </row>
    <row r="140" customFormat="false" ht="23.85" hidden="false" customHeight="false" outlineLevel="0" collapsed="false">
      <c r="A140" s="23" t="s">
        <v>1632</v>
      </c>
      <c r="B140" s="24" t="s">
        <v>481</v>
      </c>
      <c r="C140" s="25" t="s">
        <v>482</v>
      </c>
      <c r="D140" s="25" t="str">
        <f aca="false">IFERROR(INDEX(Equipements!$B$6:$B$200,MATCH($B140,Equipements!$A$6:$A$200,0)),"?")</f>
        <v>Buanderie</v>
      </c>
      <c r="E140" s="26" t="s">
        <v>1633</v>
      </c>
      <c r="F140" s="24" t="s">
        <v>922</v>
      </c>
      <c r="G140" s="24" t="n">
        <v>2</v>
      </c>
      <c r="H140" s="25" t="s">
        <v>1250</v>
      </c>
      <c r="I140" s="25" t="s">
        <v>924</v>
      </c>
      <c r="J140" s="24" t="n">
        <v>20</v>
      </c>
      <c r="K140" s="25" t="s">
        <v>1634</v>
      </c>
      <c r="L140" s="25" t="s">
        <v>1635</v>
      </c>
      <c r="M140" s="25" t="s">
        <v>1636</v>
      </c>
      <c r="N140" s="24" t="s">
        <v>191</v>
      </c>
      <c r="O140" s="24" t="s">
        <v>56</v>
      </c>
    </row>
    <row r="141" customFormat="false" ht="23.85" hidden="false" customHeight="false" outlineLevel="0" collapsed="false">
      <c r="A141" s="23" t="s">
        <v>1637</v>
      </c>
      <c r="B141" s="24" t="s">
        <v>494</v>
      </c>
      <c r="C141" s="25" t="s">
        <v>495</v>
      </c>
      <c r="D141" s="25" t="str">
        <f aca="false">IFERROR(INDEX(Equipements!$B$6:$B$200,MATCH($B141,Equipements!$A$6:$A$200,0)),"?")</f>
        <v>Maison &amp; securite</v>
      </c>
      <c r="E141" s="26" t="s">
        <v>1638</v>
      </c>
      <c r="F141" s="24" t="s">
        <v>922</v>
      </c>
      <c r="G141" s="24" t="n">
        <v>1</v>
      </c>
      <c r="H141" s="25" t="s">
        <v>923</v>
      </c>
      <c r="I141" s="25" t="s">
        <v>924</v>
      </c>
      <c r="J141" s="24" t="n">
        <v>5</v>
      </c>
      <c r="K141" s="25" t="s">
        <v>1639</v>
      </c>
      <c r="L141" s="25" t="s">
        <v>1640</v>
      </c>
      <c r="M141" s="25" t="s">
        <v>1641</v>
      </c>
      <c r="N141" s="24" t="s">
        <v>191</v>
      </c>
      <c r="O141" s="24" t="s">
        <v>56</v>
      </c>
    </row>
    <row r="142" customFormat="false" ht="23.85" hidden="false" customHeight="false" outlineLevel="0" collapsed="false">
      <c r="A142" s="17" t="s">
        <v>1642</v>
      </c>
      <c r="B142" s="16" t="s">
        <v>517</v>
      </c>
      <c r="C142" s="19" t="s">
        <v>518</v>
      </c>
      <c r="D142" s="19" t="str">
        <f aca="false">IFERROR(INDEX(Equipements!$B$6:$B$200,MATCH($B142,Equipements!$A$6:$A$200,0)),"?")</f>
        <v>Maison &amp; securite</v>
      </c>
      <c r="E142" s="18" t="s">
        <v>1643</v>
      </c>
      <c r="F142" s="16" t="s">
        <v>922</v>
      </c>
      <c r="G142" s="16" t="n">
        <v>120</v>
      </c>
      <c r="H142" s="19" t="s">
        <v>1644</v>
      </c>
      <c r="I142" s="19" t="s">
        <v>1081</v>
      </c>
      <c r="J142" s="16" t="n">
        <v>60</v>
      </c>
      <c r="K142" s="19" t="s">
        <v>1645</v>
      </c>
      <c r="L142" s="19" t="s">
        <v>1646</v>
      </c>
      <c r="M142" s="19" t="s">
        <v>1647</v>
      </c>
      <c r="N142" s="17" t="s">
        <v>97</v>
      </c>
      <c r="O142" s="16" t="s">
        <v>58</v>
      </c>
    </row>
    <row r="143" customFormat="false" ht="23.85" hidden="false" customHeight="false" outlineLevel="0" collapsed="false">
      <c r="A143" s="23" t="s">
        <v>1648</v>
      </c>
      <c r="B143" s="24" t="s">
        <v>535</v>
      </c>
      <c r="C143" s="25" t="s">
        <v>536</v>
      </c>
      <c r="D143" s="25" t="str">
        <f aca="false">IFERROR(INDEX(Equipements!$B$6:$B$200,MATCH($B143,Equipements!$A$6:$A$200,0)),"?")</f>
        <v>Maison &amp; securite</v>
      </c>
      <c r="E143" s="26" t="s">
        <v>1649</v>
      </c>
      <c r="F143" s="24" t="s">
        <v>922</v>
      </c>
      <c r="G143" s="24" t="n">
        <v>12</v>
      </c>
      <c r="H143" s="25" t="s">
        <v>1020</v>
      </c>
      <c r="I143" s="25" t="s">
        <v>1033</v>
      </c>
      <c r="J143" s="24" t="n">
        <v>20</v>
      </c>
      <c r="K143" s="25" t="s">
        <v>931</v>
      </c>
      <c r="L143" s="25" t="s">
        <v>1650</v>
      </c>
      <c r="M143" s="25" t="s">
        <v>1651</v>
      </c>
      <c r="N143" s="24" t="s">
        <v>191</v>
      </c>
      <c r="O143" s="24" t="s">
        <v>56</v>
      </c>
    </row>
    <row r="144" customFormat="false" ht="23.85" hidden="false" customHeight="false" outlineLevel="0" collapsed="false">
      <c r="A144" s="13" t="s">
        <v>1652</v>
      </c>
      <c r="B144" s="27" t="s">
        <v>541</v>
      </c>
      <c r="C144" s="28" t="s">
        <v>542</v>
      </c>
      <c r="D144" s="28" t="str">
        <f aca="false">IFERROR(INDEX(Equipements!$B$6:$B$200,MATCH($B144,Equipements!$A$6:$A$200,0)),"?")</f>
        <v>Maison &amp; securite</v>
      </c>
      <c r="E144" s="12" t="s">
        <v>1653</v>
      </c>
      <c r="F144" s="27" t="s">
        <v>201</v>
      </c>
      <c r="G144" s="27" t="n">
        <v>24</v>
      </c>
      <c r="H144" s="28" t="s">
        <v>169</v>
      </c>
      <c r="I144" s="28" t="s">
        <v>1654</v>
      </c>
      <c r="J144" s="27" t="n">
        <v>30</v>
      </c>
      <c r="K144" s="28" t="s">
        <v>111</v>
      </c>
      <c r="L144" s="28" t="s">
        <v>1655</v>
      </c>
      <c r="M144" s="28" t="s">
        <v>1656</v>
      </c>
      <c r="N144" s="27" t="s">
        <v>191</v>
      </c>
      <c r="O144" s="27" t="s">
        <v>58</v>
      </c>
    </row>
    <row r="145" customFormat="false" ht="23.85" hidden="false" customHeight="false" outlineLevel="0" collapsed="false">
      <c r="A145" s="13" t="s">
        <v>1657</v>
      </c>
      <c r="B145" s="27" t="s">
        <v>577</v>
      </c>
      <c r="C145" s="28" t="s">
        <v>578</v>
      </c>
      <c r="D145" s="28" t="str">
        <f aca="false">IFERROR(INDEX(Equipements!$B$6:$B$200,MATCH($B145,Equipements!$A$6:$A$200,0)),"?")</f>
        <v>Maison &amp; securite</v>
      </c>
      <c r="E145" s="12" t="s">
        <v>1658</v>
      </c>
      <c r="F145" s="27" t="s">
        <v>201</v>
      </c>
      <c r="G145" s="27" t="n">
        <v>30</v>
      </c>
      <c r="H145" s="28" t="s">
        <v>1659</v>
      </c>
      <c r="I145" s="28" t="s">
        <v>924</v>
      </c>
      <c r="J145" s="27" t="n">
        <v>90</v>
      </c>
      <c r="K145" s="28" t="s">
        <v>1660</v>
      </c>
      <c r="L145" s="28" t="s">
        <v>1661</v>
      </c>
      <c r="M145" s="28" t="s">
        <v>1662</v>
      </c>
      <c r="N145" s="27" t="s">
        <v>191</v>
      </c>
      <c r="O145" s="27" t="s">
        <v>60</v>
      </c>
    </row>
    <row r="146" customFormat="false" ht="23.85" hidden="false" customHeight="false" outlineLevel="0" collapsed="false">
      <c r="A146" s="13" t="s">
        <v>1663</v>
      </c>
      <c r="B146" s="27" t="s">
        <v>596</v>
      </c>
      <c r="C146" s="28" t="s">
        <v>597</v>
      </c>
      <c r="D146" s="28" t="str">
        <f aca="false">IFERROR(INDEX(Equipements!$B$6:$B$200,MATCH($B146,Equipements!$A$6:$A$200,0)),"?")</f>
        <v>Energie</v>
      </c>
      <c r="E146" s="12" t="s">
        <v>1664</v>
      </c>
      <c r="F146" s="27" t="s">
        <v>201</v>
      </c>
      <c r="G146" s="27" t="n">
        <v>12</v>
      </c>
      <c r="H146" s="28" t="s">
        <v>1020</v>
      </c>
      <c r="I146" s="28" t="s">
        <v>924</v>
      </c>
      <c r="J146" s="27" t="n">
        <v>45</v>
      </c>
      <c r="K146" s="28" t="s">
        <v>111</v>
      </c>
      <c r="L146" s="28" t="s">
        <v>1665</v>
      </c>
      <c r="M146" s="28" t="s">
        <v>1666</v>
      </c>
      <c r="N146" s="27" t="s">
        <v>191</v>
      </c>
      <c r="O146" s="27" t="s">
        <v>58</v>
      </c>
    </row>
    <row r="147" customFormat="false" ht="35.05" hidden="false" customHeight="false" outlineLevel="0" collapsed="false">
      <c r="A147" s="17" t="s">
        <v>1667</v>
      </c>
      <c r="B147" s="16" t="s">
        <v>620</v>
      </c>
      <c r="C147" s="19" t="s">
        <v>621</v>
      </c>
      <c r="D147" s="19" t="str">
        <f aca="false">IFERROR(INDEX(Equipements!$B$6:$B$200,MATCH($B147,Equipements!$A$6:$A$200,0)),"?")</f>
        <v>Energie</v>
      </c>
      <c r="E147" s="18" t="s">
        <v>1668</v>
      </c>
      <c r="F147" s="16" t="s">
        <v>201</v>
      </c>
      <c r="G147" s="16" t="n">
        <v>36</v>
      </c>
      <c r="H147" s="19" t="s">
        <v>1669</v>
      </c>
      <c r="I147" s="19" t="s">
        <v>1670</v>
      </c>
      <c r="J147" s="16" t="n">
        <v>90</v>
      </c>
      <c r="K147" s="19" t="s">
        <v>625</v>
      </c>
      <c r="L147" s="19" t="s">
        <v>1671</v>
      </c>
      <c r="M147" s="19" t="s">
        <v>1672</v>
      </c>
      <c r="N147" s="17" t="s">
        <v>97</v>
      </c>
      <c r="O147" s="16" t="s">
        <v>58</v>
      </c>
    </row>
    <row r="148" customFormat="false" ht="23.85" hidden="false" customHeight="false" outlineLevel="0" collapsed="false">
      <c r="A148" s="13" t="s">
        <v>1673</v>
      </c>
      <c r="B148" s="27" t="s">
        <v>655</v>
      </c>
      <c r="C148" s="28" t="s">
        <v>656</v>
      </c>
      <c r="D148" s="28" t="str">
        <f aca="false">IFERROR(INDEX(Equipements!$B$6:$B$200,MATCH($B148,Equipements!$A$6:$A$200,0)),"?")</f>
        <v>Maison &amp; securite</v>
      </c>
      <c r="E148" s="12" t="s">
        <v>1674</v>
      </c>
      <c r="F148" s="27" t="s">
        <v>201</v>
      </c>
      <c r="G148" s="27" t="n">
        <v>12</v>
      </c>
      <c r="H148" s="28" t="s">
        <v>1020</v>
      </c>
      <c r="I148" s="28" t="s">
        <v>924</v>
      </c>
      <c r="J148" s="27" t="n">
        <v>15</v>
      </c>
      <c r="K148" s="28" t="s">
        <v>1675</v>
      </c>
      <c r="L148" s="28" t="s">
        <v>1676</v>
      </c>
      <c r="M148" s="28" t="s">
        <v>1677</v>
      </c>
      <c r="N148" s="27" t="s">
        <v>224</v>
      </c>
      <c r="O148" s="27" t="s">
        <v>58</v>
      </c>
    </row>
    <row r="149" customFormat="false" ht="23.85" hidden="false" customHeight="false" outlineLevel="0" collapsed="false">
      <c r="A149" s="23" t="s">
        <v>1678</v>
      </c>
      <c r="B149" s="24" t="s">
        <v>672</v>
      </c>
      <c r="C149" s="25" t="s">
        <v>673</v>
      </c>
      <c r="D149" s="25" t="str">
        <f aca="false">IFERROR(INDEX(Equipements!$B$6:$B$200,MATCH($B149,Equipements!$A$6:$A$200,0)),"?")</f>
        <v>Maison &amp; securite</v>
      </c>
      <c r="E149" s="26" t="s">
        <v>1679</v>
      </c>
      <c r="F149" s="24" t="s">
        <v>922</v>
      </c>
      <c r="G149" s="24" t="n">
        <v>6</v>
      </c>
      <c r="H149" s="25" t="s">
        <v>709</v>
      </c>
      <c r="I149" s="25" t="s">
        <v>1014</v>
      </c>
      <c r="J149" s="24" t="n">
        <v>20</v>
      </c>
      <c r="K149" s="25" t="s">
        <v>1393</v>
      </c>
      <c r="L149" s="25" t="s">
        <v>1680</v>
      </c>
      <c r="M149" s="25" t="s">
        <v>1681</v>
      </c>
      <c r="N149" s="24" t="s">
        <v>191</v>
      </c>
      <c r="O149" s="24" t="s">
        <v>56</v>
      </c>
    </row>
    <row r="150" customFormat="false" ht="23.85" hidden="false" customHeight="false" outlineLevel="0" collapsed="false">
      <c r="A150" s="23" t="s">
        <v>1682</v>
      </c>
      <c r="B150" s="24" t="s">
        <v>678</v>
      </c>
      <c r="C150" s="25" t="s">
        <v>679</v>
      </c>
      <c r="D150" s="25" t="str">
        <f aca="false">IFERROR(INDEX(Equipements!$B$6:$B$200,MATCH($B150,Equipements!$A$6:$A$200,0)),"?")</f>
        <v>Maison &amp; securite</v>
      </c>
      <c r="E150" s="26" t="s">
        <v>1683</v>
      </c>
      <c r="F150" s="24" t="s">
        <v>922</v>
      </c>
      <c r="G150" s="24" t="n">
        <v>12</v>
      </c>
      <c r="H150" s="25" t="s">
        <v>1020</v>
      </c>
      <c r="I150" s="25" t="s">
        <v>1033</v>
      </c>
      <c r="J150" s="24" t="n">
        <v>15</v>
      </c>
      <c r="K150" s="25" t="s">
        <v>1684</v>
      </c>
      <c r="L150" s="25" t="s">
        <v>1685</v>
      </c>
      <c r="M150" s="25" t="s">
        <v>1686</v>
      </c>
      <c r="N150" s="24" t="s">
        <v>191</v>
      </c>
      <c r="O150" s="24" t="s">
        <v>56</v>
      </c>
    </row>
    <row r="151" customFormat="false" ht="23.85" hidden="false" customHeight="false" outlineLevel="0" collapsed="false">
      <c r="A151" s="23" t="s">
        <v>1687</v>
      </c>
      <c r="B151" s="24" t="s">
        <v>727</v>
      </c>
      <c r="C151" s="25" t="s">
        <v>728</v>
      </c>
      <c r="D151" s="25" t="str">
        <f aca="false">IFERROR(INDEX(Equipements!$B$6:$B$200,MATCH($B151,Equipements!$A$6:$A$200,0)),"?")</f>
        <v>Maison &amp; securite</v>
      </c>
      <c r="E151" s="26" t="s">
        <v>1688</v>
      </c>
      <c r="F151" s="24" t="s">
        <v>922</v>
      </c>
      <c r="G151" s="24" t="n">
        <v>12</v>
      </c>
      <c r="H151" s="25" t="s">
        <v>1020</v>
      </c>
      <c r="I151" s="25" t="s">
        <v>1494</v>
      </c>
      <c r="J151" s="24" t="n">
        <v>45</v>
      </c>
      <c r="K151" s="25" t="s">
        <v>1689</v>
      </c>
      <c r="L151" s="25" t="s">
        <v>1690</v>
      </c>
      <c r="M151" s="25" t="s">
        <v>1691</v>
      </c>
      <c r="N151" s="24" t="s">
        <v>191</v>
      </c>
      <c r="O151" s="24" t="s">
        <v>56</v>
      </c>
    </row>
    <row r="152" customFormat="false" ht="23.85" hidden="false" customHeight="false" outlineLevel="0" collapsed="false">
      <c r="A152" s="17" t="s">
        <v>1692</v>
      </c>
      <c r="B152" s="16" t="s">
        <v>765</v>
      </c>
      <c r="C152" s="19" t="s">
        <v>766</v>
      </c>
      <c r="D152" s="19" t="str">
        <f aca="false">IFERROR(INDEX(Equipements!$B$6:$B$200,MATCH($B152,Equipements!$A$6:$A$200,0)),"?")</f>
        <v>Jardin &amp; piscine</v>
      </c>
      <c r="E152" s="18" t="s">
        <v>1693</v>
      </c>
      <c r="F152" s="16" t="s">
        <v>201</v>
      </c>
      <c r="G152" s="16" t="n">
        <v>24</v>
      </c>
      <c r="H152" s="19" t="s">
        <v>169</v>
      </c>
      <c r="I152" s="19" t="s">
        <v>1694</v>
      </c>
      <c r="J152" s="16" t="n">
        <v>60</v>
      </c>
      <c r="K152" s="19" t="s">
        <v>111</v>
      </c>
      <c r="L152" s="19" t="s">
        <v>1695</v>
      </c>
      <c r="M152" s="19" t="s">
        <v>1696</v>
      </c>
      <c r="N152" s="17" t="s">
        <v>97</v>
      </c>
      <c r="O152" s="16" t="s">
        <v>56</v>
      </c>
    </row>
    <row r="153" customFormat="false" ht="23.85" hidden="false" customHeight="false" outlineLevel="0" collapsed="false">
      <c r="A153" s="23" t="s">
        <v>1697</v>
      </c>
      <c r="B153" s="24" t="s">
        <v>769</v>
      </c>
      <c r="C153" s="25" t="s">
        <v>770</v>
      </c>
      <c r="D153" s="25" t="str">
        <f aca="false">IFERROR(INDEX(Equipements!$B$6:$B$200,MATCH($B153,Equipements!$A$6:$A$200,0)),"?")</f>
        <v>Jardin &amp; piscine</v>
      </c>
      <c r="E153" s="26" t="s">
        <v>1698</v>
      </c>
      <c r="F153" s="24" t="s">
        <v>922</v>
      </c>
      <c r="G153" s="24" t="n">
        <v>1</v>
      </c>
      <c r="H153" s="25" t="s">
        <v>1699</v>
      </c>
      <c r="I153" s="25" t="s">
        <v>1417</v>
      </c>
      <c r="J153" s="24" t="n">
        <v>15</v>
      </c>
      <c r="K153" s="25" t="s">
        <v>1700</v>
      </c>
      <c r="L153" s="25" t="s">
        <v>1701</v>
      </c>
      <c r="M153" s="25" t="s">
        <v>1702</v>
      </c>
      <c r="N153" s="24" t="s">
        <v>191</v>
      </c>
      <c r="O153" s="24" t="s">
        <v>56</v>
      </c>
    </row>
    <row r="154" customFormat="false" ht="23.85" hidden="false" customHeight="false" outlineLevel="0" collapsed="false">
      <c r="A154" s="23" t="s">
        <v>1703</v>
      </c>
      <c r="B154" s="24" t="s">
        <v>803</v>
      </c>
      <c r="C154" s="25" t="s">
        <v>804</v>
      </c>
      <c r="D154" s="25" t="str">
        <f aca="false">IFERROR(INDEX(Equipements!$B$6:$B$200,MATCH($B154,Equipements!$A$6:$A$200,0)),"?")</f>
        <v>Jardin &amp; piscine</v>
      </c>
      <c r="E154" s="26" t="s">
        <v>1704</v>
      </c>
      <c r="F154" s="24" t="s">
        <v>922</v>
      </c>
      <c r="G154" s="24" t="n">
        <v>12</v>
      </c>
      <c r="H154" s="25" t="s">
        <v>1020</v>
      </c>
      <c r="I154" s="25" t="s">
        <v>1705</v>
      </c>
      <c r="J154" s="24" t="n">
        <v>45</v>
      </c>
      <c r="K154" s="25" t="s">
        <v>1706</v>
      </c>
      <c r="L154" s="25" t="s">
        <v>1707</v>
      </c>
      <c r="M154" s="25" t="s">
        <v>1708</v>
      </c>
      <c r="N154" s="24" t="s">
        <v>191</v>
      </c>
      <c r="O154" s="24" t="s">
        <v>56</v>
      </c>
    </row>
    <row r="155" customFormat="false" ht="23.85" hidden="false" customHeight="false" outlineLevel="0" collapsed="false">
      <c r="A155" s="23" t="s">
        <v>1709</v>
      </c>
      <c r="B155" s="24" t="s">
        <v>825</v>
      </c>
      <c r="C155" s="25" t="s">
        <v>826</v>
      </c>
      <c r="D155" s="25" t="str">
        <f aca="false">IFERROR(INDEX(Equipements!$B$6:$B$200,MATCH($B155,Equipements!$A$6:$A$200,0)),"?")</f>
        <v>Jardin &amp; piscine</v>
      </c>
      <c r="E155" s="26" t="s">
        <v>1710</v>
      </c>
      <c r="F155" s="24" t="s">
        <v>922</v>
      </c>
      <c r="G155" s="24" t="n">
        <v>30</v>
      </c>
      <c r="H155" s="25" t="s">
        <v>1659</v>
      </c>
      <c r="I155" s="25" t="s">
        <v>1711</v>
      </c>
      <c r="J155" s="24" t="n">
        <v>240</v>
      </c>
      <c r="K155" s="25" t="s">
        <v>1712</v>
      </c>
      <c r="L155" s="25" t="s">
        <v>1713</v>
      </c>
      <c r="M155" s="25" t="s">
        <v>1714</v>
      </c>
      <c r="N155" s="24" t="s">
        <v>191</v>
      </c>
      <c r="O155" s="24" t="s">
        <v>56</v>
      </c>
    </row>
    <row r="156" customFormat="false" ht="23.85" hidden="false" customHeight="false" outlineLevel="0" collapsed="false">
      <c r="A156" s="23" t="s">
        <v>1715</v>
      </c>
      <c r="B156" s="24" t="s">
        <v>843</v>
      </c>
      <c r="C156" s="25" t="s">
        <v>844</v>
      </c>
      <c r="D156" s="25" t="str">
        <f aca="false">IFERROR(INDEX(Equipements!$B$6:$B$200,MATCH($B156,Equipements!$A$6:$A$200,0)),"?")</f>
        <v>Maison &amp; securite</v>
      </c>
      <c r="E156" s="26" t="s">
        <v>1716</v>
      </c>
      <c r="F156" s="24" t="s">
        <v>922</v>
      </c>
      <c r="G156" s="24" t="n">
        <v>12</v>
      </c>
      <c r="H156" s="25" t="s">
        <v>1020</v>
      </c>
      <c r="I156" s="25" t="s">
        <v>1717</v>
      </c>
      <c r="J156" s="24" t="n">
        <v>30</v>
      </c>
      <c r="K156" s="25" t="s">
        <v>1506</v>
      </c>
      <c r="L156" s="25" t="s">
        <v>1718</v>
      </c>
      <c r="M156" s="25" t="s">
        <v>1719</v>
      </c>
      <c r="N156" s="24" t="s">
        <v>224</v>
      </c>
      <c r="O156" s="24" t="s">
        <v>56</v>
      </c>
    </row>
    <row r="157" customFormat="false" ht="35.05" hidden="false" customHeight="false" outlineLevel="0" collapsed="false">
      <c r="A157" s="17" t="s">
        <v>1720</v>
      </c>
      <c r="B157" s="16" t="s">
        <v>870</v>
      </c>
      <c r="C157" s="19" t="s">
        <v>871</v>
      </c>
      <c r="D157" s="19" t="str">
        <f aca="false">IFERROR(INDEX(Equipements!$B$6:$B$200,MATCH($B157,Equipements!$A$6:$A$200,0)),"?")</f>
        <v>Vehicules</v>
      </c>
      <c r="E157" s="18" t="s">
        <v>1721</v>
      </c>
      <c r="F157" s="16" t="s">
        <v>201</v>
      </c>
      <c r="G157" s="16" t="n">
        <v>24</v>
      </c>
      <c r="H157" s="19" t="s">
        <v>1722</v>
      </c>
      <c r="I157" s="19" t="s">
        <v>1362</v>
      </c>
      <c r="J157" s="16" t="n">
        <v>60</v>
      </c>
      <c r="K157" s="19" t="s">
        <v>1723</v>
      </c>
      <c r="L157" s="19" t="s">
        <v>1724</v>
      </c>
      <c r="M157" s="19" t="s">
        <v>877</v>
      </c>
      <c r="N157" s="17" t="s">
        <v>97</v>
      </c>
      <c r="O157" s="16" t="s">
        <v>56</v>
      </c>
    </row>
    <row r="158" customFormat="false" ht="35.05" hidden="false" customHeight="false" outlineLevel="0" collapsed="false">
      <c r="A158" s="17" t="s">
        <v>1725</v>
      </c>
      <c r="B158" s="16" t="s">
        <v>881</v>
      </c>
      <c r="C158" s="19" t="s">
        <v>882</v>
      </c>
      <c r="D158" s="19" t="str">
        <f aca="false">IFERROR(INDEX(Equipements!$B$6:$B$200,MATCH($B158,Equipements!$A$6:$A$200,0)),"?")</f>
        <v>Vehicules</v>
      </c>
      <c r="E158" s="18" t="s">
        <v>1726</v>
      </c>
      <c r="F158" s="16" t="s">
        <v>201</v>
      </c>
      <c r="G158" s="16" t="n">
        <v>36</v>
      </c>
      <c r="H158" s="19" t="s">
        <v>1727</v>
      </c>
      <c r="I158" s="19" t="s">
        <v>1362</v>
      </c>
      <c r="J158" s="16" t="n">
        <v>45</v>
      </c>
      <c r="K158" s="19" t="s">
        <v>1728</v>
      </c>
      <c r="L158" s="19" t="s">
        <v>1729</v>
      </c>
      <c r="M158" s="19" t="s">
        <v>887</v>
      </c>
      <c r="N158" s="17" t="s">
        <v>97</v>
      </c>
      <c r="O158" s="16" t="s">
        <v>56</v>
      </c>
    </row>
    <row r="159" customFormat="false" ht="35.05" hidden="false" customHeight="false" outlineLevel="0" collapsed="false">
      <c r="A159" s="13" t="s">
        <v>1730</v>
      </c>
      <c r="B159" s="27" t="s">
        <v>889</v>
      </c>
      <c r="C159" s="28" t="s">
        <v>890</v>
      </c>
      <c r="D159" s="28" t="str">
        <f aca="false">IFERROR(INDEX(Equipements!$B$6:$B$200,MATCH($B159,Equipements!$A$6:$A$200,0)),"?")</f>
        <v>Vehicules</v>
      </c>
      <c r="E159" s="12" t="s">
        <v>1731</v>
      </c>
      <c r="F159" s="27" t="s">
        <v>201</v>
      </c>
      <c r="G159" s="27" t="n">
        <v>12</v>
      </c>
      <c r="H159" s="28" t="s">
        <v>1020</v>
      </c>
      <c r="I159" s="28" t="s">
        <v>1033</v>
      </c>
      <c r="J159" s="27" t="n">
        <v>60</v>
      </c>
      <c r="K159" s="28" t="s">
        <v>1732</v>
      </c>
      <c r="L159" s="28" t="s">
        <v>1733</v>
      </c>
      <c r="M159" s="28" t="s">
        <v>1734</v>
      </c>
      <c r="N159" s="27" t="s">
        <v>191</v>
      </c>
      <c r="O159" s="27" t="s">
        <v>56</v>
      </c>
    </row>
  </sheetData>
  <autoFilter ref="A5:O1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3"/>
    <col collapsed="false" customWidth="true" hidden="false" outlineLevel="0" max="3" min="3" style="0" width="7"/>
    <col collapsed="false" customWidth="true" hidden="false" outlineLevel="0" max="4" min="4" style="0" width="40"/>
    <col collapsed="false" customWidth="true" hidden="false" outlineLevel="0" max="5" min="5" style="0" width="16"/>
    <col collapsed="false" customWidth="true" hidden="false" outlineLevel="0" max="6" min="6" style="0" width="40"/>
    <col collapsed="false" customWidth="true" hidden="false" outlineLevel="0" max="7" min="7" style="0" width="20"/>
    <col collapsed="false" customWidth="true" hidden="false" outlineLevel="0" max="9" min="8" style="0" width="56"/>
    <col collapsed="false" customWidth="true" hidden="false" outlineLevel="0" max="10" min="10" style="0" width="18"/>
    <col collapsed="false" customWidth="true" hidden="false" outlineLevel="0" max="11" min="11" style="0" width="40"/>
    <col collapsed="false" customWidth="true" hidden="false" outlineLevel="0" max="13" min="12" style="0" width="30"/>
  </cols>
  <sheetData>
    <row r="2" customFormat="false" ht="19.7" hidden="false" customHeight="false" outlineLevel="0" collapsed="false">
      <c r="A2" s="1" t="s">
        <v>1735</v>
      </c>
    </row>
    <row r="3" customFormat="false" ht="15" hidden="false" customHeight="false" outlineLevel="0" collapsed="false">
      <c r="A3" s="2" t="s">
        <v>1736</v>
      </c>
    </row>
    <row r="5" customFormat="false" ht="31.5" hidden="false" customHeight="true" outlineLevel="0" collapsed="false">
      <c r="A5" s="9" t="s">
        <v>79</v>
      </c>
      <c r="B5" s="9" t="s">
        <v>1737</v>
      </c>
      <c r="C5" s="9" t="s">
        <v>1738</v>
      </c>
      <c r="D5" s="9" t="s">
        <v>1739</v>
      </c>
      <c r="E5" s="9" t="s">
        <v>1740</v>
      </c>
      <c r="F5" s="9" t="s">
        <v>1741</v>
      </c>
      <c r="G5" s="9" t="s">
        <v>1742</v>
      </c>
      <c r="H5" s="9" t="s">
        <v>1743</v>
      </c>
      <c r="I5" s="9" t="s">
        <v>1744</v>
      </c>
      <c r="J5" s="9" t="s">
        <v>1745</v>
      </c>
      <c r="K5" s="9" t="s">
        <v>1746</v>
      </c>
      <c r="L5" s="9" t="s">
        <v>1747</v>
      </c>
      <c r="M5" s="9" t="s">
        <v>1748</v>
      </c>
    </row>
    <row r="6" customFormat="false" ht="15" hidden="false" customHeight="false" outlineLevel="0" collapsed="false">
      <c r="A6" s="29" t="s">
        <v>1749</v>
      </c>
      <c r="B6" s="29" t="s">
        <v>1750</v>
      </c>
      <c r="C6" s="29" t="n">
        <v>1</v>
      </c>
      <c r="D6" s="30" t="s">
        <v>1751</v>
      </c>
      <c r="E6" s="29" t="s">
        <v>1752</v>
      </c>
      <c r="F6" s="30" t="s">
        <v>1753</v>
      </c>
      <c r="G6" s="21" t="s">
        <v>153</v>
      </c>
      <c r="H6" s="21" t="s">
        <v>153</v>
      </c>
      <c r="I6" s="21" t="s">
        <v>1754</v>
      </c>
      <c r="J6" s="21" t="s">
        <v>153</v>
      </c>
      <c r="K6" s="21" t="s">
        <v>153</v>
      </c>
      <c r="L6" s="21" t="s">
        <v>1755</v>
      </c>
      <c r="M6" s="21" t="s">
        <v>153</v>
      </c>
    </row>
    <row r="7" customFormat="false" ht="15" hidden="false" customHeight="false" outlineLevel="0" collapsed="false">
      <c r="A7" s="29" t="s">
        <v>1749</v>
      </c>
      <c r="B7" s="29" t="s">
        <v>1750</v>
      </c>
      <c r="C7" s="29" t="n">
        <v>1</v>
      </c>
      <c r="D7" s="30" t="s">
        <v>1751</v>
      </c>
      <c r="E7" s="29" t="s">
        <v>1752</v>
      </c>
      <c r="F7" s="30" t="s">
        <v>1756</v>
      </c>
      <c r="G7" s="21" t="s">
        <v>153</v>
      </c>
      <c r="H7" s="21" t="s">
        <v>153</v>
      </c>
      <c r="I7" s="21" t="s">
        <v>1757</v>
      </c>
      <c r="J7" s="21" t="s">
        <v>153</v>
      </c>
      <c r="K7" s="21" t="s">
        <v>153</v>
      </c>
      <c r="L7" s="21" t="s">
        <v>1758</v>
      </c>
      <c r="M7" s="21" t="s">
        <v>153</v>
      </c>
    </row>
    <row r="8" customFormat="false" ht="35.05" hidden="false" customHeight="false" outlineLevel="0" collapsed="false">
      <c r="A8" s="29" t="s">
        <v>1749</v>
      </c>
      <c r="B8" s="29" t="s">
        <v>1750</v>
      </c>
      <c r="C8" s="29" t="n">
        <v>1</v>
      </c>
      <c r="D8" s="30" t="s">
        <v>1751</v>
      </c>
      <c r="E8" s="29" t="s">
        <v>1752</v>
      </c>
      <c r="F8" s="30" t="s">
        <v>1759</v>
      </c>
      <c r="G8" s="21" t="s">
        <v>153</v>
      </c>
      <c r="H8" s="21" t="s">
        <v>153</v>
      </c>
      <c r="I8" s="21" t="s">
        <v>1760</v>
      </c>
      <c r="J8" s="21" t="s">
        <v>153</v>
      </c>
      <c r="K8" s="21" t="s">
        <v>153</v>
      </c>
      <c r="L8" s="21" t="s">
        <v>1761</v>
      </c>
      <c r="M8" s="21" t="s">
        <v>153</v>
      </c>
    </row>
    <row r="9" customFormat="false" ht="15" hidden="false" customHeight="false" outlineLevel="0" collapsed="false">
      <c r="A9" s="29" t="s">
        <v>1749</v>
      </c>
      <c r="B9" s="29" t="s">
        <v>1750</v>
      </c>
      <c r="C9" s="29" t="n">
        <v>1</v>
      </c>
      <c r="D9" s="30" t="s">
        <v>1751</v>
      </c>
      <c r="E9" s="29" t="s">
        <v>1752</v>
      </c>
      <c r="F9" s="30" t="s">
        <v>1762</v>
      </c>
      <c r="G9" s="21" t="s">
        <v>153</v>
      </c>
      <c r="H9" s="21" t="s">
        <v>153</v>
      </c>
      <c r="I9" s="21" t="s">
        <v>1763</v>
      </c>
      <c r="J9" s="21" t="s">
        <v>153</v>
      </c>
      <c r="K9" s="21" t="s">
        <v>153</v>
      </c>
      <c r="L9" s="21" t="s">
        <v>1764</v>
      </c>
      <c r="M9" s="21" t="s">
        <v>153</v>
      </c>
    </row>
    <row r="10" customFormat="false" ht="23.85" hidden="false" customHeight="false" outlineLevel="0" collapsed="false">
      <c r="A10" s="16" t="s">
        <v>1765</v>
      </c>
      <c r="B10" s="16" t="s">
        <v>1766</v>
      </c>
      <c r="C10" s="16" t="n">
        <v>2</v>
      </c>
      <c r="D10" s="18" t="s">
        <v>1767</v>
      </c>
      <c r="E10" s="16" t="s">
        <v>1752</v>
      </c>
      <c r="F10" s="18" t="s">
        <v>1768</v>
      </c>
      <c r="G10" s="19" t="s">
        <v>93</v>
      </c>
      <c r="H10" s="19" t="s">
        <v>1769</v>
      </c>
      <c r="I10" s="19" t="s">
        <v>153</v>
      </c>
      <c r="J10" s="19" t="s">
        <v>155</v>
      </c>
      <c r="K10" s="19" t="s">
        <v>153</v>
      </c>
      <c r="L10" s="19" t="s">
        <v>153</v>
      </c>
      <c r="M10" s="19" t="s">
        <v>153</v>
      </c>
    </row>
    <row r="11" customFormat="false" ht="23.85" hidden="false" customHeight="false" outlineLevel="0" collapsed="false">
      <c r="A11" s="16" t="s">
        <v>1765</v>
      </c>
      <c r="B11" s="16" t="s">
        <v>1766</v>
      </c>
      <c r="C11" s="16" t="n">
        <v>2</v>
      </c>
      <c r="D11" s="18" t="s">
        <v>1767</v>
      </c>
      <c r="E11" s="16" t="s">
        <v>1752</v>
      </c>
      <c r="F11" s="18" t="s">
        <v>1770</v>
      </c>
      <c r="G11" s="19" t="s">
        <v>1771</v>
      </c>
      <c r="H11" s="19" t="s">
        <v>1769</v>
      </c>
      <c r="I11" s="19" t="s">
        <v>153</v>
      </c>
      <c r="J11" s="19" t="s">
        <v>155</v>
      </c>
      <c r="K11" s="19" t="s">
        <v>153</v>
      </c>
      <c r="L11" s="19" t="s">
        <v>153</v>
      </c>
      <c r="M11" s="19" t="s">
        <v>153</v>
      </c>
    </row>
    <row r="12" customFormat="false" ht="23.85" hidden="false" customHeight="false" outlineLevel="0" collapsed="false">
      <c r="A12" s="16" t="s">
        <v>1765</v>
      </c>
      <c r="B12" s="16" t="s">
        <v>1766</v>
      </c>
      <c r="C12" s="16" t="n">
        <v>2</v>
      </c>
      <c r="D12" s="18" t="s">
        <v>1767</v>
      </c>
      <c r="E12" s="16" t="s">
        <v>1752</v>
      </c>
      <c r="F12" s="18" t="s">
        <v>1772</v>
      </c>
      <c r="G12" s="19" t="s">
        <v>1773</v>
      </c>
      <c r="H12" s="19" t="s">
        <v>153</v>
      </c>
      <c r="I12" s="19" t="s">
        <v>1774</v>
      </c>
      <c r="J12" s="19" t="s">
        <v>153</v>
      </c>
      <c r="K12" s="19" t="s">
        <v>153</v>
      </c>
      <c r="L12" s="19" t="s">
        <v>153</v>
      </c>
      <c r="M12" s="19" t="s">
        <v>153</v>
      </c>
    </row>
    <row r="13" customFormat="false" ht="23.85" hidden="false" customHeight="false" outlineLevel="0" collapsed="false">
      <c r="A13" s="16" t="s">
        <v>1765</v>
      </c>
      <c r="B13" s="16" t="s">
        <v>1766</v>
      </c>
      <c r="C13" s="16" t="n">
        <v>2</v>
      </c>
      <c r="D13" s="18" t="s">
        <v>1767</v>
      </c>
      <c r="E13" s="16" t="s">
        <v>1752</v>
      </c>
      <c r="F13" s="18" t="s">
        <v>1775</v>
      </c>
      <c r="G13" s="19" t="s">
        <v>1776</v>
      </c>
      <c r="H13" s="19" t="s">
        <v>153</v>
      </c>
      <c r="I13" s="19" t="s">
        <v>1777</v>
      </c>
      <c r="J13" s="19" t="s">
        <v>153</v>
      </c>
      <c r="K13" s="19" t="s">
        <v>153</v>
      </c>
      <c r="L13" s="19" t="s">
        <v>153</v>
      </c>
      <c r="M13" s="19" t="s">
        <v>153</v>
      </c>
    </row>
    <row r="14" customFormat="false" ht="23.85" hidden="false" customHeight="false" outlineLevel="0" collapsed="false">
      <c r="A14" s="16" t="s">
        <v>1765</v>
      </c>
      <c r="B14" s="16" t="s">
        <v>1766</v>
      </c>
      <c r="C14" s="16" t="n">
        <v>2</v>
      </c>
      <c r="D14" s="18" t="s">
        <v>1767</v>
      </c>
      <c r="E14" s="16" t="s">
        <v>1752</v>
      </c>
      <c r="F14" s="18" t="s">
        <v>1778</v>
      </c>
      <c r="G14" s="19" t="s">
        <v>1779</v>
      </c>
      <c r="H14" s="19" t="s">
        <v>153</v>
      </c>
      <c r="I14" s="19" t="s">
        <v>1777</v>
      </c>
      <c r="J14" s="19" t="s">
        <v>153</v>
      </c>
      <c r="K14" s="19" t="s">
        <v>153</v>
      </c>
      <c r="L14" s="19" t="s">
        <v>153</v>
      </c>
      <c r="M14" s="19" t="s">
        <v>153</v>
      </c>
    </row>
    <row r="15" customFormat="false" ht="23.85" hidden="false" customHeight="false" outlineLevel="0" collapsed="false">
      <c r="A15" s="16" t="s">
        <v>1765</v>
      </c>
      <c r="B15" s="16" t="s">
        <v>1766</v>
      </c>
      <c r="C15" s="16" t="n">
        <v>2</v>
      </c>
      <c r="D15" s="18" t="s">
        <v>1767</v>
      </c>
      <c r="E15" s="16" t="s">
        <v>1752</v>
      </c>
      <c r="F15" s="18" t="s">
        <v>1780</v>
      </c>
      <c r="G15" s="19" t="s">
        <v>1781</v>
      </c>
      <c r="H15" s="19" t="s">
        <v>153</v>
      </c>
      <c r="I15" s="19" t="s">
        <v>1777</v>
      </c>
      <c r="J15" s="19" t="s">
        <v>153</v>
      </c>
      <c r="K15" s="19" t="s">
        <v>153</v>
      </c>
      <c r="L15" s="19" t="s">
        <v>153</v>
      </c>
      <c r="M15" s="19" t="s">
        <v>153</v>
      </c>
    </row>
    <row r="16" customFormat="false" ht="23.85" hidden="false" customHeight="false" outlineLevel="0" collapsed="false">
      <c r="A16" s="16" t="s">
        <v>1765</v>
      </c>
      <c r="B16" s="16" t="s">
        <v>1766</v>
      </c>
      <c r="C16" s="16" t="n">
        <v>2</v>
      </c>
      <c r="D16" s="18" t="s">
        <v>1767</v>
      </c>
      <c r="E16" s="16" t="s">
        <v>1752</v>
      </c>
      <c r="F16" s="18" t="s">
        <v>1782</v>
      </c>
      <c r="G16" s="19" t="s">
        <v>166</v>
      </c>
      <c r="H16" s="19" t="s">
        <v>153</v>
      </c>
      <c r="I16" s="19" t="s">
        <v>1783</v>
      </c>
      <c r="J16" s="19" t="s">
        <v>153</v>
      </c>
      <c r="K16" s="19" t="s">
        <v>153</v>
      </c>
      <c r="L16" s="19" t="s">
        <v>153</v>
      </c>
      <c r="M16" s="19" t="s">
        <v>153</v>
      </c>
    </row>
    <row r="17" customFormat="false" ht="23.85" hidden="false" customHeight="false" outlineLevel="0" collapsed="false">
      <c r="A17" s="16" t="s">
        <v>1765</v>
      </c>
      <c r="B17" s="16" t="s">
        <v>1766</v>
      </c>
      <c r="C17" s="16" t="n">
        <v>2</v>
      </c>
      <c r="D17" s="18" t="s">
        <v>1767</v>
      </c>
      <c r="E17" s="16" t="s">
        <v>1752</v>
      </c>
      <c r="F17" s="18" t="s">
        <v>1784</v>
      </c>
      <c r="G17" s="19" t="s">
        <v>175</v>
      </c>
      <c r="H17" s="19" t="s">
        <v>153</v>
      </c>
      <c r="I17" s="19" t="s">
        <v>1785</v>
      </c>
      <c r="J17" s="19" t="s">
        <v>153</v>
      </c>
      <c r="K17" s="19" t="s">
        <v>153</v>
      </c>
      <c r="L17" s="19" t="s">
        <v>153</v>
      </c>
      <c r="M17" s="19" t="s">
        <v>153</v>
      </c>
    </row>
    <row r="18" customFormat="false" ht="23.85" hidden="false" customHeight="false" outlineLevel="0" collapsed="false">
      <c r="A18" s="16" t="s">
        <v>1765</v>
      </c>
      <c r="B18" s="16" t="s">
        <v>1766</v>
      </c>
      <c r="C18" s="16" t="n">
        <v>2</v>
      </c>
      <c r="D18" s="18" t="s">
        <v>1767</v>
      </c>
      <c r="E18" s="16" t="s">
        <v>1752</v>
      </c>
      <c r="F18" s="18" t="s">
        <v>1786</v>
      </c>
      <c r="G18" s="19" t="s">
        <v>182</v>
      </c>
      <c r="H18" s="19" t="s">
        <v>153</v>
      </c>
      <c r="I18" s="19" t="s">
        <v>153</v>
      </c>
      <c r="J18" s="19" t="s">
        <v>153</v>
      </c>
      <c r="K18" s="19" t="s">
        <v>153</v>
      </c>
      <c r="L18" s="19" t="s">
        <v>153</v>
      </c>
      <c r="M18" s="19" t="s">
        <v>153</v>
      </c>
    </row>
    <row r="19" customFormat="false" ht="23.85" hidden="false" customHeight="false" outlineLevel="0" collapsed="false">
      <c r="A19" s="16" t="s">
        <v>1765</v>
      </c>
      <c r="B19" s="16" t="s">
        <v>1766</v>
      </c>
      <c r="C19" s="16" t="n">
        <v>2</v>
      </c>
      <c r="D19" s="18" t="s">
        <v>1767</v>
      </c>
      <c r="E19" s="16" t="s">
        <v>1752</v>
      </c>
      <c r="F19" s="18" t="s">
        <v>1787</v>
      </c>
      <c r="G19" s="19" t="s">
        <v>215</v>
      </c>
      <c r="H19" s="19" t="s">
        <v>153</v>
      </c>
      <c r="I19" s="19" t="s">
        <v>1788</v>
      </c>
      <c r="J19" s="19" t="s">
        <v>153</v>
      </c>
      <c r="K19" s="19" t="s">
        <v>153</v>
      </c>
      <c r="L19" s="19" t="s">
        <v>153</v>
      </c>
      <c r="M19" s="19" t="s">
        <v>153</v>
      </c>
    </row>
    <row r="20" customFormat="false" ht="35.05" hidden="false" customHeight="false" outlineLevel="0" collapsed="false">
      <c r="A20" s="16" t="s">
        <v>1765</v>
      </c>
      <c r="B20" s="16" t="s">
        <v>1766</v>
      </c>
      <c r="C20" s="16" t="n">
        <v>2</v>
      </c>
      <c r="D20" s="18" t="s">
        <v>1767</v>
      </c>
      <c r="E20" s="16" t="s">
        <v>1752</v>
      </c>
      <c r="F20" s="18" t="s">
        <v>1789</v>
      </c>
      <c r="G20" s="19" t="s">
        <v>153</v>
      </c>
      <c r="H20" s="19" t="s">
        <v>153</v>
      </c>
      <c r="I20" s="19" t="s">
        <v>1790</v>
      </c>
      <c r="J20" s="19" t="s">
        <v>153</v>
      </c>
      <c r="K20" s="19" t="s">
        <v>153</v>
      </c>
      <c r="L20" s="19" t="s">
        <v>153</v>
      </c>
      <c r="M20" s="19" t="s">
        <v>153</v>
      </c>
    </row>
    <row r="21" customFormat="false" ht="23.85" hidden="false" customHeight="false" outlineLevel="0" collapsed="false">
      <c r="A21" s="16" t="s">
        <v>1791</v>
      </c>
      <c r="B21" s="16" t="s">
        <v>1766</v>
      </c>
      <c r="C21" s="16" t="n">
        <v>3</v>
      </c>
      <c r="D21" s="18" t="s">
        <v>1792</v>
      </c>
      <c r="E21" s="16" t="s">
        <v>1793</v>
      </c>
      <c r="F21" s="18" t="s">
        <v>1794</v>
      </c>
      <c r="G21" s="19" t="s">
        <v>144</v>
      </c>
      <c r="H21" s="19" t="s">
        <v>153</v>
      </c>
      <c r="I21" s="19" t="s">
        <v>1795</v>
      </c>
      <c r="J21" s="19" t="s">
        <v>153</v>
      </c>
      <c r="K21" s="19" t="s">
        <v>1796</v>
      </c>
      <c r="L21" s="19" t="s">
        <v>153</v>
      </c>
      <c r="M21" s="19" t="s">
        <v>153</v>
      </c>
    </row>
    <row r="22" customFormat="false" ht="23.85" hidden="false" customHeight="false" outlineLevel="0" collapsed="false">
      <c r="A22" s="16" t="s">
        <v>1791</v>
      </c>
      <c r="B22" s="16" t="s">
        <v>1766</v>
      </c>
      <c r="C22" s="16" t="n">
        <v>3</v>
      </c>
      <c r="D22" s="18" t="s">
        <v>1792</v>
      </c>
      <c r="E22" s="16" t="s">
        <v>1793</v>
      </c>
      <c r="F22" s="18" t="s">
        <v>1797</v>
      </c>
      <c r="G22" s="19" t="s">
        <v>1779</v>
      </c>
      <c r="H22" s="19" t="s">
        <v>153</v>
      </c>
      <c r="I22" s="19" t="s">
        <v>153</v>
      </c>
      <c r="J22" s="19" t="s">
        <v>153</v>
      </c>
      <c r="K22" s="19" t="s">
        <v>1796</v>
      </c>
      <c r="L22" s="19" t="s">
        <v>153</v>
      </c>
      <c r="M22" s="19" t="s">
        <v>153</v>
      </c>
    </row>
    <row r="23" customFormat="false" ht="23.85" hidden="false" customHeight="false" outlineLevel="0" collapsed="false">
      <c r="A23" s="16" t="s">
        <v>1791</v>
      </c>
      <c r="B23" s="16" t="s">
        <v>1766</v>
      </c>
      <c r="C23" s="16" t="n">
        <v>3</v>
      </c>
      <c r="D23" s="18" t="s">
        <v>1792</v>
      </c>
      <c r="E23" s="16" t="s">
        <v>1793</v>
      </c>
      <c r="F23" s="18" t="s">
        <v>1780</v>
      </c>
      <c r="G23" s="19" t="s">
        <v>1781</v>
      </c>
      <c r="H23" s="19" t="s">
        <v>153</v>
      </c>
      <c r="I23" s="19" t="s">
        <v>153</v>
      </c>
      <c r="J23" s="19" t="s">
        <v>153</v>
      </c>
      <c r="K23" s="19" t="s">
        <v>1796</v>
      </c>
      <c r="L23" s="19" t="s">
        <v>153</v>
      </c>
      <c r="M23" s="19" t="s">
        <v>153</v>
      </c>
    </row>
    <row r="24" customFormat="false" ht="23.85" hidden="false" customHeight="false" outlineLevel="0" collapsed="false">
      <c r="A24" s="16" t="s">
        <v>1791</v>
      </c>
      <c r="B24" s="16" t="s">
        <v>1766</v>
      </c>
      <c r="C24" s="16" t="n">
        <v>3</v>
      </c>
      <c r="D24" s="18" t="s">
        <v>1792</v>
      </c>
      <c r="E24" s="16" t="s">
        <v>1793</v>
      </c>
      <c r="F24" s="18" t="s">
        <v>191</v>
      </c>
      <c r="G24" s="19" t="s">
        <v>153</v>
      </c>
      <c r="H24" s="19" t="s">
        <v>153</v>
      </c>
      <c r="I24" s="19" t="s">
        <v>153</v>
      </c>
      <c r="J24" s="19" t="s">
        <v>153</v>
      </c>
      <c r="K24" s="19" t="s">
        <v>1796</v>
      </c>
      <c r="L24" s="19" t="s">
        <v>153</v>
      </c>
      <c r="M24" s="19" t="s">
        <v>153</v>
      </c>
    </row>
    <row r="25" customFormat="false" ht="23.85" hidden="false" customHeight="false" outlineLevel="0" collapsed="false">
      <c r="A25" s="16" t="s">
        <v>1791</v>
      </c>
      <c r="B25" s="16" t="s">
        <v>1766</v>
      </c>
      <c r="C25" s="16" t="n">
        <v>3</v>
      </c>
      <c r="D25" s="18" t="s">
        <v>1792</v>
      </c>
      <c r="E25" s="16" t="s">
        <v>1793</v>
      </c>
      <c r="F25" s="18" t="s">
        <v>1789</v>
      </c>
      <c r="G25" s="19" t="s">
        <v>153</v>
      </c>
      <c r="H25" s="19" t="s">
        <v>153</v>
      </c>
      <c r="I25" s="19" t="s">
        <v>153</v>
      </c>
      <c r="J25" s="19" t="s">
        <v>153</v>
      </c>
      <c r="K25" s="19" t="s">
        <v>1796</v>
      </c>
      <c r="L25" s="19" t="s">
        <v>153</v>
      </c>
      <c r="M25" s="19" t="s">
        <v>153</v>
      </c>
    </row>
    <row r="26" customFormat="false" ht="23.85" hidden="false" customHeight="false" outlineLevel="0" collapsed="false">
      <c r="A26" s="16" t="s">
        <v>1798</v>
      </c>
      <c r="B26" s="16" t="s">
        <v>1766</v>
      </c>
      <c r="C26" s="16" t="n">
        <v>4</v>
      </c>
      <c r="D26" s="18" t="s">
        <v>1799</v>
      </c>
      <c r="E26" s="16" t="s">
        <v>1752</v>
      </c>
      <c r="F26" s="18" t="s">
        <v>1800</v>
      </c>
      <c r="G26" s="19" t="s">
        <v>153</v>
      </c>
      <c r="H26" s="19" t="s">
        <v>153</v>
      </c>
      <c r="I26" s="19" t="s">
        <v>1801</v>
      </c>
      <c r="J26" s="19" t="s">
        <v>153</v>
      </c>
      <c r="K26" s="19" t="s">
        <v>153</v>
      </c>
      <c r="L26" s="19" t="s">
        <v>153</v>
      </c>
      <c r="M26" s="19" t="s">
        <v>153</v>
      </c>
    </row>
    <row r="27" customFormat="false" ht="15" hidden="false" customHeight="false" outlineLevel="0" collapsed="false">
      <c r="A27" s="16" t="s">
        <v>1798</v>
      </c>
      <c r="B27" s="16" t="s">
        <v>1766</v>
      </c>
      <c r="C27" s="16" t="n">
        <v>4</v>
      </c>
      <c r="D27" s="18" t="s">
        <v>1799</v>
      </c>
      <c r="E27" s="16" t="s">
        <v>1752</v>
      </c>
      <c r="F27" s="18" t="s">
        <v>1802</v>
      </c>
      <c r="G27" s="19" t="s">
        <v>252</v>
      </c>
      <c r="H27" s="19" t="s">
        <v>153</v>
      </c>
      <c r="I27" s="19" t="s">
        <v>1788</v>
      </c>
      <c r="J27" s="19" t="s">
        <v>153</v>
      </c>
      <c r="K27" s="19" t="s">
        <v>153</v>
      </c>
      <c r="L27" s="19" t="s">
        <v>153</v>
      </c>
      <c r="M27" s="19" t="s">
        <v>153</v>
      </c>
    </row>
    <row r="28" customFormat="false" ht="15" hidden="false" customHeight="false" outlineLevel="0" collapsed="false">
      <c r="A28" s="16" t="s">
        <v>1798</v>
      </c>
      <c r="B28" s="16" t="s">
        <v>1766</v>
      </c>
      <c r="C28" s="16" t="n">
        <v>4</v>
      </c>
      <c r="D28" s="18" t="s">
        <v>1799</v>
      </c>
      <c r="E28" s="16" t="s">
        <v>1752</v>
      </c>
      <c r="F28" s="18" t="s">
        <v>261</v>
      </c>
      <c r="G28" s="19" t="s">
        <v>260</v>
      </c>
      <c r="H28" s="19" t="s">
        <v>153</v>
      </c>
      <c r="I28" s="19" t="s">
        <v>1803</v>
      </c>
      <c r="J28" s="19" t="s">
        <v>153</v>
      </c>
      <c r="K28" s="19" t="s">
        <v>153</v>
      </c>
      <c r="L28" s="19" t="s">
        <v>153</v>
      </c>
      <c r="M28" s="19" t="s">
        <v>153</v>
      </c>
    </row>
    <row r="29" customFormat="false" ht="15" hidden="false" customHeight="false" outlineLevel="0" collapsed="false">
      <c r="A29" s="16" t="s">
        <v>1798</v>
      </c>
      <c r="B29" s="16" t="s">
        <v>1766</v>
      </c>
      <c r="C29" s="16" t="n">
        <v>4</v>
      </c>
      <c r="D29" s="18" t="s">
        <v>1799</v>
      </c>
      <c r="E29" s="16" t="s">
        <v>1752</v>
      </c>
      <c r="F29" s="18" t="s">
        <v>1804</v>
      </c>
      <c r="G29" s="19" t="s">
        <v>264</v>
      </c>
      <c r="H29" s="19" t="s">
        <v>153</v>
      </c>
      <c r="I29" s="19" t="s">
        <v>153</v>
      </c>
      <c r="J29" s="19" t="s">
        <v>153</v>
      </c>
      <c r="K29" s="19" t="s">
        <v>153</v>
      </c>
      <c r="L29" s="19" t="s">
        <v>153</v>
      </c>
      <c r="M29" s="19" t="s">
        <v>153</v>
      </c>
    </row>
    <row r="30" customFormat="false" ht="15" hidden="false" customHeight="false" outlineLevel="0" collapsed="false">
      <c r="A30" s="16" t="s">
        <v>1798</v>
      </c>
      <c r="B30" s="16" t="s">
        <v>1766</v>
      </c>
      <c r="C30" s="16" t="n">
        <v>4</v>
      </c>
      <c r="D30" s="18" t="s">
        <v>1799</v>
      </c>
      <c r="E30" s="16" t="s">
        <v>1752</v>
      </c>
      <c r="F30" s="18" t="s">
        <v>1805</v>
      </c>
      <c r="G30" s="19" t="s">
        <v>271</v>
      </c>
      <c r="H30" s="19" t="s">
        <v>153</v>
      </c>
      <c r="I30" s="19" t="s">
        <v>153</v>
      </c>
      <c r="J30" s="19" t="s">
        <v>153</v>
      </c>
      <c r="K30" s="19" t="s">
        <v>153</v>
      </c>
      <c r="L30" s="19" t="s">
        <v>153</v>
      </c>
      <c r="M30" s="19" t="s">
        <v>153</v>
      </c>
    </row>
    <row r="31" customFormat="false" ht="23.85" hidden="false" customHeight="false" outlineLevel="0" collapsed="false">
      <c r="A31" s="16" t="s">
        <v>1798</v>
      </c>
      <c r="B31" s="16" t="s">
        <v>1766</v>
      </c>
      <c r="C31" s="16" t="n">
        <v>4</v>
      </c>
      <c r="D31" s="18" t="s">
        <v>1799</v>
      </c>
      <c r="E31" s="16" t="s">
        <v>1752</v>
      </c>
      <c r="F31" s="18" t="s">
        <v>1789</v>
      </c>
      <c r="G31" s="19" t="s">
        <v>153</v>
      </c>
      <c r="H31" s="19" t="s">
        <v>153</v>
      </c>
      <c r="I31" s="19" t="s">
        <v>1806</v>
      </c>
      <c r="J31" s="19" t="s">
        <v>153</v>
      </c>
      <c r="K31" s="19" t="s">
        <v>153</v>
      </c>
      <c r="L31" s="19" t="s">
        <v>153</v>
      </c>
      <c r="M31" s="19" t="s">
        <v>153</v>
      </c>
    </row>
    <row r="32" customFormat="false" ht="23.85" hidden="false" customHeight="false" outlineLevel="0" collapsed="false">
      <c r="A32" s="16" t="s">
        <v>1807</v>
      </c>
      <c r="B32" s="16" t="s">
        <v>1766</v>
      </c>
      <c r="C32" s="16" t="n">
        <v>5</v>
      </c>
      <c r="D32" s="18" t="s">
        <v>1808</v>
      </c>
      <c r="E32" s="16" t="s">
        <v>1752</v>
      </c>
      <c r="F32" s="18" t="s">
        <v>1809</v>
      </c>
      <c r="G32" s="19" t="s">
        <v>294</v>
      </c>
      <c r="H32" s="19" t="s">
        <v>153</v>
      </c>
      <c r="I32" s="19" t="s">
        <v>1785</v>
      </c>
      <c r="J32" s="19" t="s">
        <v>153</v>
      </c>
      <c r="K32" s="19" t="s">
        <v>1810</v>
      </c>
      <c r="L32" s="19" t="s">
        <v>153</v>
      </c>
      <c r="M32" s="19" t="s">
        <v>153</v>
      </c>
    </row>
    <row r="33" customFormat="false" ht="23.85" hidden="false" customHeight="false" outlineLevel="0" collapsed="false">
      <c r="A33" s="16" t="s">
        <v>1807</v>
      </c>
      <c r="B33" s="16" t="s">
        <v>1766</v>
      </c>
      <c r="C33" s="16" t="n">
        <v>5</v>
      </c>
      <c r="D33" s="18" t="s">
        <v>1808</v>
      </c>
      <c r="E33" s="16" t="s">
        <v>1752</v>
      </c>
      <c r="F33" s="18" t="s">
        <v>1811</v>
      </c>
      <c r="G33" s="19" t="s">
        <v>299</v>
      </c>
      <c r="H33" s="19" t="s">
        <v>153</v>
      </c>
      <c r="I33" s="19" t="s">
        <v>1788</v>
      </c>
      <c r="J33" s="19" t="s">
        <v>153</v>
      </c>
      <c r="K33" s="19" t="s">
        <v>1810</v>
      </c>
      <c r="L33" s="19" t="s">
        <v>153</v>
      </c>
      <c r="M33" s="19" t="s">
        <v>153</v>
      </c>
    </row>
    <row r="34" customFormat="false" ht="23.85" hidden="false" customHeight="false" outlineLevel="0" collapsed="false">
      <c r="A34" s="16" t="s">
        <v>1807</v>
      </c>
      <c r="B34" s="16" t="s">
        <v>1766</v>
      </c>
      <c r="C34" s="16" t="n">
        <v>5</v>
      </c>
      <c r="D34" s="18" t="s">
        <v>1808</v>
      </c>
      <c r="E34" s="16" t="s">
        <v>1752</v>
      </c>
      <c r="F34" s="18" t="s">
        <v>191</v>
      </c>
      <c r="G34" s="19" t="s">
        <v>153</v>
      </c>
      <c r="H34" s="19" t="s">
        <v>153</v>
      </c>
      <c r="I34" s="19" t="s">
        <v>153</v>
      </c>
      <c r="J34" s="19" t="s">
        <v>153</v>
      </c>
      <c r="K34" s="19" t="s">
        <v>1810</v>
      </c>
      <c r="L34" s="19" t="s">
        <v>153</v>
      </c>
      <c r="M34" s="19" t="s">
        <v>153</v>
      </c>
    </row>
    <row r="35" customFormat="false" ht="23.85" hidden="false" customHeight="false" outlineLevel="0" collapsed="false">
      <c r="A35" s="16" t="s">
        <v>1807</v>
      </c>
      <c r="B35" s="16" t="s">
        <v>1766</v>
      </c>
      <c r="C35" s="16" t="n">
        <v>5</v>
      </c>
      <c r="D35" s="18" t="s">
        <v>1808</v>
      </c>
      <c r="E35" s="16" t="s">
        <v>1752</v>
      </c>
      <c r="F35" s="18" t="s">
        <v>1789</v>
      </c>
      <c r="G35" s="19" t="s">
        <v>153</v>
      </c>
      <c r="H35" s="19" t="s">
        <v>153</v>
      </c>
      <c r="I35" s="19" t="s">
        <v>153</v>
      </c>
      <c r="J35" s="19" t="s">
        <v>153</v>
      </c>
      <c r="K35" s="19" t="s">
        <v>1810</v>
      </c>
      <c r="L35" s="19" t="s">
        <v>153</v>
      </c>
      <c r="M35" s="19" t="s">
        <v>153</v>
      </c>
    </row>
    <row r="36" customFormat="false" ht="15" hidden="false" customHeight="false" outlineLevel="0" collapsed="false">
      <c r="A36" s="16" t="s">
        <v>1812</v>
      </c>
      <c r="B36" s="16" t="s">
        <v>1766</v>
      </c>
      <c r="C36" s="16" t="n">
        <v>6</v>
      </c>
      <c r="D36" s="18" t="s">
        <v>1813</v>
      </c>
      <c r="E36" s="16" t="s">
        <v>1752</v>
      </c>
      <c r="F36" s="18" t="s">
        <v>97</v>
      </c>
      <c r="G36" s="19" t="s">
        <v>1814</v>
      </c>
      <c r="H36" s="19" t="s">
        <v>153</v>
      </c>
      <c r="I36" s="19" t="s">
        <v>153</v>
      </c>
      <c r="J36" s="19" t="s">
        <v>153</v>
      </c>
      <c r="K36" s="19" t="s">
        <v>153</v>
      </c>
      <c r="L36" s="19" t="s">
        <v>153</v>
      </c>
      <c r="M36" s="19" t="s">
        <v>153</v>
      </c>
    </row>
    <row r="37" customFormat="false" ht="15" hidden="false" customHeight="false" outlineLevel="0" collapsed="false">
      <c r="A37" s="16" t="s">
        <v>1812</v>
      </c>
      <c r="B37" s="16" t="s">
        <v>1766</v>
      </c>
      <c r="C37" s="16" t="n">
        <v>6</v>
      </c>
      <c r="D37" s="18" t="s">
        <v>1813</v>
      </c>
      <c r="E37" s="16" t="s">
        <v>1752</v>
      </c>
      <c r="F37" s="18" t="s">
        <v>191</v>
      </c>
      <c r="G37" s="19" t="s">
        <v>153</v>
      </c>
      <c r="H37" s="19" t="s">
        <v>153</v>
      </c>
      <c r="I37" s="19" t="s">
        <v>153</v>
      </c>
      <c r="J37" s="19" t="s">
        <v>153</v>
      </c>
      <c r="K37" s="19" t="s">
        <v>153</v>
      </c>
      <c r="L37" s="19" t="s">
        <v>153</v>
      </c>
      <c r="M37" s="19" t="s">
        <v>153</v>
      </c>
    </row>
    <row r="38" customFormat="false" ht="15" hidden="false" customHeight="false" outlineLevel="0" collapsed="false">
      <c r="A38" s="16" t="s">
        <v>1812</v>
      </c>
      <c r="B38" s="16" t="s">
        <v>1766</v>
      </c>
      <c r="C38" s="16" t="n">
        <v>6</v>
      </c>
      <c r="D38" s="18" t="s">
        <v>1813</v>
      </c>
      <c r="E38" s="16" t="s">
        <v>1752</v>
      </c>
      <c r="F38" s="18" t="s">
        <v>1789</v>
      </c>
      <c r="G38" s="19" t="s">
        <v>153</v>
      </c>
      <c r="H38" s="19" t="s">
        <v>153</v>
      </c>
      <c r="I38" s="19" t="s">
        <v>1815</v>
      </c>
      <c r="J38" s="19" t="s">
        <v>153</v>
      </c>
      <c r="K38" s="19" t="s">
        <v>153</v>
      </c>
      <c r="L38" s="19" t="s">
        <v>153</v>
      </c>
      <c r="M38" s="19" t="s">
        <v>153</v>
      </c>
    </row>
    <row r="39" customFormat="false" ht="23.85" hidden="false" customHeight="false" outlineLevel="0" collapsed="false">
      <c r="A39" s="16" t="s">
        <v>1816</v>
      </c>
      <c r="B39" s="16" t="s">
        <v>1766</v>
      </c>
      <c r="C39" s="16" t="n">
        <v>7</v>
      </c>
      <c r="D39" s="18" t="s">
        <v>1817</v>
      </c>
      <c r="E39" s="16" t="s">
        <v>1752</v>
      </c>
      <c r="F39" s="18" t="s">
        <v>97</v>
      </c>
      <c r="G39" s="19" t="s">
        <v>153</v>
      </c>
      <c r="H39" s="19" t="s">
        <v>153</v>
      </c>
      <c r="I39" s="19" t="s">
        <v>153</v>
      </c>
      <c r="J39" s="19" t="s">
        <v>153</v>
      </c>
      <c r="K39" s="19" t="s">
        <v>153</v>
      </c>
      <c r="L39" s="19" t="s">
        <v>153</v>
      </c>
      <c r="M39" s="19" t="s">
        <v>153</v>
      </c>
    </row>
    <row r="40" customFormat="false" ht="23.85" hidden="false" customHeight="false" outlineLevel="0" collapsed="false">
      <c r="A40" s="16" t="s">
        <v>1816</v>
      </c>
      <c r="B40" s="16" t="s">
        <v>1766</v>
      </c>
      <c r="C40" s="16" t="n">
        <v>7</v>
      </c>
      <c r="D40" s="18" t="s">
        <v>1817</v>
      </c>
      <c r="E40" s="16" t="s">
        <v>1752</v>
      </c>
      <c r="F40" s="18" t="s">
        <v>1818</v>
      </c>
      <c r="G40" s="19" t="s">
        <v>548</v>
      </c>
      <c r="H40" s="19" t="s">
        <v>153</v>
      </c>
      <c r="I40" s="19" t="s">
        <v>153</v>
      </c>
      <c r="J40" s="19" t="s">
        <v>153</v>
      </c>
      <c r="K40" s="19" t="s">
        <v>153</v>
      </c>
      <c r="L40" s="19" t="s">
        <v>153</v>
      </c>
      <c r="M40" s="19" t="s">
        <v>153</v>
      </c>
    </row>
    <row r="41" customFormat="false" ht="23.85" hidden="false" customHeight="false" outlineLevel="0" collapsed="false">
      <c r="A41" s="16" t="s">
        <v>1816</v>
      </c>
      <c r="B41" s="16" t="s">
        <v>1766</v>
      </c>
      <c r="C41" s="16" t="n">
        <v>7</v>
      </c>
      <c r="D41" s="18" t="s">
        <v>1817</v>
      </c>
      <c r="E41" s="16" t="s">
        <v>1752</v>
      </c>
      <c r="F41" s="18" t="s">
        <v>1819</v>
      </c>
      <c r="G41" s="19" t="s">
        <v>559</v>
      </c>
      <c r="H41" s="19" t="s">
        <v>153</v>
      </c>
      <c r="I41" s="19" t="s">
        <v>153</v>
      </c>
      <c r="J41" s="19" t="s">
        <v>153</v>
      </c>
      <c r="K41" s="19" t="s">
        <v>153</v>
      </c>
      <c r="L41" s="19" t="s">
        <v>153</v>
      </c>
      <c r="M41" s="19" t="s">
        <v>153</v>
      </c>
    </row>
    <row r="42" customFormat="false" ht="23.85" hidden="false" customHeight="false" outlineLevel="0" collapsed="false">
      <c r="A42" s="16" t="s">
        <v>1816</v>
      </c>
      <c r="B42" s="16" t="s">
        <v>1766</v>
      </c>
      <c r="C42" s="16" t="n">
        <v>7</v>
      </c>
      <c r="D42" s="18" t="s">
        <v>1817</v>
      </c>
      <c r="E42" s="16" t="s">
        <v>1752</v>
      </c>
      <c r="F42" s="18" t="s">
        <v>1789</v>
      </c>
      <c r="G42" s="19" t="s">
        <v>153</v>
      </c>
      <c r="H42" s="19" t="s">
        <v>153</v>
      </c>
      <c r="I42" s="19" t="s">
        <v>1820</v>
      </c>
      <c r="J42" s="19" t="s">
        <v>153</v>
      </c>
      <c r="K42" s="19" t="s">
        <v>153</v>
      </c>
      <c r="L42" s="19" t="s">
        <v>153</v>
      </c>
      <c r="M42" s="19" t="s">
        <v>153</v>
      </c>
    </row>
    <row r="43" customFormat="false" ht="23.85" hidden="false" customHeight="false" outlineLevel="0" collapsed="false">
      <c r="A43" s="16" t="s">
        <v>1821</v>
      </c>
      <c r="B43" s="16" t="s">
        <v>1766</v>
      </c>
      <c r="C43" s="16" t="n">
        <v>8</v>
      </c>
      <c r="D43" s="18" t="s">
        <v>1822</v>
      </c>
      <c r="E43" s="16" t="s">
        <v>1752</v>
      </c>
      <c r="F43" s="18" t="s">
        <v>1823</v>
      </c>
      <c r="G43" s="19" t="s">
        <v>734</v>
      </c>
      <c r="H43" s="19" t="s">
        <v>153</v>
      </c>
      <c r="I43" s="19" t="s">
        <v>153</v>
      </c>
      <c r="J43" s="19" t="s">
        <v>153</v>
      </c>
      <c r="K43" s="19" t="s">
        <v>153</v>
      </c>
      <c r="L43" s="19" t="s">
        <v>153</v>
      </c>
      <c r="M43" s="19" t="s">
        <v>153</v>
      </c>
    </row>
    <row r="44" customFormat="false" ht="23.85" hidden="false" customHeight="false" outlineLevel="0" collapsed="false">
      <c r="A44" s="16" t="s">
        <v>1821</v>
      </c>
      <c r="B44" s="16" t="s">
        <v>1766</v>
      </c>
      <c r="C44" s="16" t="n">
        <v>8</v>
      </c>
      <c r="D44" s="18" t="s">
        <v>1822</v>
      </c>
      <c r="E44" s="16" t="s">
        <v>1752</v>
      </c>
      <c r="F44" s="18" t="s">
        <v>1824</v>
      </c>
      <c r="G44" s="19" t="s">
        <v>1825</v>
      </c>
      <c r="H44" s="19" t="s">
        <v>153</v>
      </c>
      <c r="I44" s="19" t="s">
        <v>153</v>
      </c>
      <c r="J44" s="19" t="s">
        <v>153</v>
      </c>
      <c r="K44" s="19" t="s">
        <v>153</v>
      </c>
      <c r="L44" s="19" t="s">
        <v>153</v>
      </c>
      <c r="M44" s="19" t="s">
        <v>153</v>
      </c>
    </row>
    <row r="45" customFormat="false" ht="23.85" hidden="false" customHeight="false" outlineLevel="0" collapsed="false">
      <c r="A45" s="16" t="s">
        <v>1821</v>
      </c>
      <c r="B45" s="16" t="s">
        <v>1766</v>
      </c>
      <c r="C45" s="16" t="n">
        <v>8</v>
      </c>
      <c r="D45" s="18" t="s">
        <v>1822</v>
      </c>
      <c r="E45" s="16" t="s">
        <v>1752</v>
      </c>
      <c r="F45" s="18" t="s">
        <v>1826</v>
      </c>
      <c r="G45" s="19" t="s">
        <v>734</v>
      </c>
      <c r="H45" s="19" t="s">
        <v>153</v>
      </c>
      <c r="I45" s="19" t="s">
        <v>153</v>
      </c>
      <c r="J45" s="19" t="s">
        <v>153</v>
      </c>
      <c r="K45" s="19" t="s">
        <v>153</v>
      </c>
      <c r="L45" s="19" t="s">
        <v>153</v>
      </c>
      <c r="M45" s="19" t="s">
        <v>153</v>
      </c>
    </row>
    <row r="46" customFormat="false" ht="23.85" hidden="false" customHeight="false" outlineLevel="0" collapsed="false">
      <c r="A46" s="16" t="s">
        <v>1821</v>
      </c>
      <c r="B46" s="16" t="s">
        <v>1766</v>
      </c>
      <c r="C46" s="16" t="n">
        <v>8</v>
      </c>
      <c r="D46" s="18" t="s">
        <v>1822</v>
      </c>
      <c r="E46" s="16" t="s">
        <v>1752</v>
      </c>
      <c r="F46" s="18" t="s">
        <v>1827</v>
      </c>
      <c r="G46" s="19" t="s">
        <v>734</v>
      </c>
      <c r="H46" s="19" t="s">
        <v>153</v>
      </c>
      <c r="I46" s="19" t="s">
        <v>1828</v>
      </c>
      <c r="J46" s="19" t="s">
        <v>153</v>
      </c>
      <c r="K46" s="19" t="s">
        <v>153</v>
      </c>
      <c r="L46" s="19" t="s">
        <v>153</v>
      </c>
      <c r="M46" s="19" t="s">
        <v>1829</v>
      </c>
    </row>
    <row r="47" customFormat="false" ht="23.85" hidden="false" customHeight="false" outlineLevel="0" collapsed="false">
      <c r="A47" s="16" t="s">
        <v>1821</v>
      </c>
      <c r="B47" s="16" t="s">
        <v>1766</v>
      </c>
      <c r="C47" s="16" t="n">
        <v>8</v>
      </c>
      <c r="D47" s="18" t="s">
        <v>1822</v>
      </c>
      <c r="E47" s="16" t="s">
        <v>1752</v>
      </c>
      <c r="F47" s="18" t="s">
        <v>191</v>
      </c>
      <c r="G47" s="19" t="s">
        <v>153</v>
      </c>
      <c r="H47" s="19" t="s">
        <v>153</v>
      </c>
      <c r="I47" s="19" t="s">
        <v>153</v>
      </c>
      <c r="J47" s="19" t="s">
        <v>153</v>
      </c>
      <c r="K47" s="19" t="s">
        <v>153</v>
      </c>
      <c r="L47" s="19" t="s">
        <v>153</v>
      </c>
      <c r="M47" s="19" t="s">
        <v>153</v>
      </c>
    </row>
    <row r="48" customFormat="false" ht="23.85" hidden="false" customHeight="false" outlineLevel="0" collapsed="false">
      <c r="A48" s="16" t="s">
        <v>1821</v>
      </c>
      <c r="B48" s="16" t="s">
        <v>1766</v>
      </c>
      <c r="C48" s="16" t="n">
        <v>8</v>
      </c>
      <c r="D48" s="18" t="s">
        <v>1822</v>
      </c>
      <c r="E48" s="16" t="s">
        <v>1752</v>
      </c>
      <c r="F48" s="18" t="s">
        <v>1789</v>
      </c>
      <c r="G48" s="19" t="s">
        <v>153</v>
      </c>
      <c r="H48" s="19" t="s">
        <v>153</v>
      </c>
      <c r="I48" s="19" t="s">
        <v>153</v>
      </c>
      <c r="J48" s="19" t="s">
        <v>153</v>
      </c>
      <c r="K48" s="19" t="s">
        <v>153</v>
      </c>
      <c r="L48" s="19" t="s">
        <v>153</v>
      </c>
      <c r="M48" s="19" t="s">
        <v>153</v>
      </c>
    </row>
    <row r="49" customFormat="false" ht="15" hidden="false" customHeight="false" outlineLevel="0" collapsed="false">
      <c r="A49" s="16" t="s">
        <v>1830</v>
      </c>
      <c r="B49" s="16" t="s">
        <v>1766</v>
      </c>
      <c r="C49" s="16" t="n">
        <v>9</v>
      </c>
      <c r="D49" s="18" t="s">
        <v>1831</v>
      </c>
      <c r="E49" s="16" t="s">
        <v>1752</v>
      </c>
      <c r="F49" s="18" t="s">
        <v>97</v>
      </c>
      <c r="G49" s="19" t="s">
        <v>517</v>
      </c>
      <c r="H49" s="19" t="s">
        <v>153</v>
      </c>
      <c r="I49" s="19" t="s">
        <v>153</v>
      </c>
      <c r="J49" s="19" t="s">
        <v>153</v>
      </c>
      <c r="K49" s="19" t="s">
        <v>153</v>
      </c>
      <c r="L49" s="19" t="s">
        <v>153</v>
      </c>
      <c r="M49" s="19" t="s">
        <v>153</v>
      </c>
    </row>
    <row r="50" customFormat="false" ht="15" hidden="false" customHeight="false" outlineLevel="0" collapsed="false">
      <c r="A50" s="16" t="s">
        <v>1830</v>
      </c>
      <c r="B50" s="16" t="s">
        <v>1766</v>
      </c>
      <c r="C50" s="16" t="n">
        <v>9</v>
      </c>
      <c r="D50" s="18" t="s">
        <v>1831</v>
      </c>
      <c r="E50" s="16" t="s">
        <v>1752</v>
      </c>
      <c r="F50" s="18" t="s">
        <v>191</v>
      </c>
      <c r="G50" s="19" t="s">
        <v>153</v>
      </c>
      <c r="H50" s="19" t="s">
        <v>153</v>
      </c>
      <c r="I50" s="19" t="s">
        <v>153</v>
      </c>
      <c r="J50" s="19" t="s">
        <v>153</v>
      </c>
      <c r="K50" s="19" t="s">
        <v>153</v>
      </c>
      <c r="L50" s="19" t="s">
        <v>153</v>
      </c>
      <c r="M50" s="19" t="s">
        <v>153</v>
      </c>
    </row>
    <row r="51" customFormat="false" ht="15" hidden="false" customHeight="false" outlineLevel="0" collapsed="false">
      <c r="A51" s="16" t="s">
        <v>1830</v>
      </c>
      <c r="B51" s="16" t="s">
        <v>1766</v>
      </c>
      <c r="C51" s="16" t="n">
        <v>9</v>
      </c>
      <c r="D51" s="18" t="s">
        <v>1831</v>
      </c>
      <c r="E51" s="16" t="s">
        <v>1752</v>
      </c>
      <c r="F51" s="18" t="s">
        <v>1789</v>
      </c>
      <c r="G51" s="19" t="s">
        <v>153</v>
      </c>
      <c r="H51" s="19" t="s">
        <v>153</v>
      </c>
      <c r="I51" s="19" t="s">
        <v>153</v>
      </c>
      <c r="J51" s="19" t="s">
        <v>153</v>
      </c>
      <c r="K51" s="19" t="s">
        <v>153</v>
      </c>
      <c r="L51" s="19" t="s">
        <v>153</v>
      </c>
      <c r="M51" s="19" t="s">
        <v>153</v>
      </c>
    </row>
    <row r="52" customFormat="false" ht="23.85" hidden="false" customHeight="false" outlineLevel="0" collapsed="false">
      <c r="A52" s="16" t="s">
        <v>1832</v>
      </c>
      <c r="B52" s="16" t="s">
        <v>1766</v>
      </c>
      <c r="C52" s="16" t="n">
        <v>10</v>
      </c>
      <c r="D52" s="18" t="s">
        <v>1833</v>
      </c>
      <c r="E52" s="16" t="s">
        <v>1793</v>
      </c>
      <c r="F52" s="18" t="s">
        <v>1834</v>
      </c>
      <c r="G52" s="19" t="s">
        <v>870</v>
      </c>
      <c r="H52" s="19" t="s">
        <v>153</v>
      </c>
      <c r="I52" s="19" t="s">
        <v>1835</v>
      </c>
      <c r="J52" s="19" t="s">
        <v>153</v>
      </c>
      <c r="K52" s="19" t="s">
        <v>1836</v>
      </c>
      <c r="L52" s="19" t="s">
        <v>153</v>
      </c>
      <c r="M52" s="19" t="s">
        <v>153</v>
      </c>
    </row>
    <row r="53" customFormat="false" ht="23.85" hidden="false" customHeight="false" outlineLevel="0" collapsed="false">
      <c r="A53" s="16" t="s">
        <v>1832</v>
      </c>
      <c r="B53" s="16" t="s">
        <v>1766</v>
      </c>
      <c r="C53" s="16" t="n">
        <v>10</v>
      </c>
      <c r="D53" s="18" t="s">
        <v>1833</v>
      </c>
      <c r="E53" s="16" t="s">
        <v>1793</v>
      </c>
      <c r="F53" s="18" t="s">
        <v>1837</v>
      </c>
      <c r="G53" s="19" t="s">
        <v>881</v>
      </c>
      <c r="H53" s="19" t="s">
        <v>153</v>
      </c>
      <c r="I53" s="19" t="s">
        <v>153</v>
      </c>
      <c r="J53" s="19" t="s">
        <v>153</v>
      </c>
      <c r="K53" s="19" t="s">
        <v>1836</v>
      </c>
      <c r="L53" s="19" t="s">
        <v>153</v>
      </c>
      <c r="M53" s="19" t="s">
        <v>153</v>
      </c>
    </row>
    <row r="54" customFormat="false" ht="23.85" hidden="false" customHeight="false" outlineLevel="0" collapsed="false">
      <c r="A54" s="16" t="s">
        <v>1832</v>
      </c>
      <c r="B54" s="16" t="s">
        <v>1766</v>
      </c>
      <c r="C54" s="16" t="n">
        <v>10</v>
      </c>
      <c r="D54" s="18" t="s">
        <v>1833</v>
      </c>
      <c r="E54" s="16" t="s">
        <v>1793</v>
      </c>
      <c r="F54" s="18" t="s">
        <v>1838</v>
      </c>
      <c r="G54" s="19" t="s">
        <v>889</v>
      </c>
      <c r="H54" s="19" t="s">
        <v>153</v>
      </c>
      <c r="I54" s="19" t="s">
        <v>1788</v>
      </c>
      <c r="J54" s="19" t="s">
        <v>153</v>
      </c>
      <c r="K54" s="19" t="s">
        <v>1836</v>
      </c>
      <c r="L54" s="19" t="s">
        <v>153</v>
      </c>
      <c r="M54" s="19" t="s">
        <v>153</v>
      </c>
    </row>
    <row r="55" customFormat="false" ht="23.85" hidden="false" customHeight="false" outlineLevel="0" collapsed="false">
      <c r="A55" s="16" t="s">
        <v>1832</v>
      </c>
      <c r="B55" s="16" t="s">
        <v>1766</v>
      </c>
      <c r="C55" s="16" t="n">
        <v>10</v>
      </c>
      <c r="D55" s="18" t="s">
        <v>1833</v>
      </c>
      <c r="E55" s="16" t="s">
        <v>1793</v>
      </c>
      <c r="F55" s="18" t="s">
        <v>1022</v>
      </c>
      <c r="G55" s="19" t="s">
        <v>153</v>
      </c>
      <c r="H55" s="19" t="s">
        <v>153</v>
      </c>
      <c r="I55" s="19" t="s">
        <v>153</v>
      </c>
      <c r="J55" s="19" t="s">
        <v>153</v>
      </c>
      <c r="K55" s="19" t="s">
        <v>1836</v>
      </c>
      <c r="L55" s="19" t="s">
        <v>153</v>
      </c>
      <c r="M55" s="19" t="s">
        <v>153</v>
      </c>
    </row>
    <row r="56" customFormat="false" ht="23.85" hidden="false" customHeight="false" outlineLevel="0" collapsed="false">
      <c r="A56" s="16" t="s">
        <v>1832</v>
      </c>
      <c r="B56" s="16" t="s">
        <v>1766</v>
      </c>
      <c r="C56" s="16" t="n">
        <v>10</v>
      </c>
      <c r="D56" s="18" t="s">
        <v>1833</v>
      </c>
      <c r="E56" s="16" t="s">
        <v>1793</v>
      </c>
      <c r="F56" s="18" t="s">
        <v>1789</v>
      </c>
      <c r="G56" s="19" t="s">
        <v>153</v>
      </c>
      <c r="H56" s="19" t="s">
        <v>153</v>
      </c>
      <c r="I56" s="19" t="s">
        <v>153</v>
      </c>
      <c r="J56" s="19" t="s">
        <v>153</v>
      </c>
      <c r="K56" s="19" t="s">
        <v>1836</v>
      </c>
      <c r="L56" s="19" t="s">
        <v>153</v>
      </c>
      <c r="M56" s="19" t="s">
        <v>153</v>
      </c>
    </row>
    <row r="57" customFormat="false" ht="15" hidden="false" customHeight="false" outlineLevel="0" collapsed="false">
      <c r="A57" s="16" t="s">
        <v>1839</v>
      </c>
      <c r="B57" s="16" t="s">
        <v>1766</v>
      </c>
      <c r="C57" s="16" t="n">
        <v>11</v>
      </c>
      <c r="D57" s="18" t="s">
        <v>1840</v>
      </c>
      <c r="E57" s="16" t="s">
        <v>1752</v>
      </c>
      <c r="F57" s="18" t="s">
        <v>97</v>
      </c>
      <c r="G57" s="19" t="s">
        <v>636</v>
      </c>
      <c r="H57" s="19" t="s">
        <v>153</v>
      </c>
      <c r="I57" s="19" t="s">
        <v>1841</v>
      </c>
      <c r="J57" s="19" t="s">
        <v>153</v>
      </c>
      <c r="K57" s="19" t="s">
        <v>153</v>
      </c>
      <c r="L57" s="19" t="s">
        <v>153</v>
      </c>
      <c r="M57" s="19" t="s">
        <v>153</v>
      </c>
    </row>
    <row r="58" customFormat="false" ht="15" hidden="false" customHeight="false" outlineLevel="0" collapsed="false">
      <c r="A58" s="16" t="s">
        <v>1839</v>
      </c>
      <c r="B58" s="16" t="s">
        <v>1766</v>
      </c>
      <c r="C58" s="16" t="n">
        <v>11</v>
      </c>
      <c r="D58" s="18" t="s">
        <v>1840</v>
      </c>
      <c r="E58" s="16" t="s">
        <v>1752</v>
      </c>
      <c r="F58" s="18" t="s">
        <v>191</v>
      </c>
      <c r="G58" s="19" t="s">
        <v>636</v>
      </c>
      <c r="H58" s="19" t="s">
        <v>153</v>
      </c>
      <c r="I58" s="19" t="s">
        <v>1842</v>
      </c>
      <c r="J58" s="19" t="s">
        <v>153</v>
      </c>
      <c r="K58" s="19" t="s">
        <v>153</v>
      </c>
      <c r="L58" s="19" t="s">
        <v>153</v>
      </c>
      <c r="M58" s="19" t="s">
        <v>1843</v>
      </c>
    </row>
    <row r="59" customFormat="false" ht="15" hidden="false" customHeight="false" outlineLevel="0" collapsed="false">
      <c r="A59" s="16" t="s">
        <v>1839</v>
      </c>
      <c r="B59" s="16" t="s">
        <v>1766</v>
      </c>
      <c r="C59" s="16" t="n">
        <v>11</v>
      </c>
      <c r="D59" s="18" t="s">
        <v>1840</v>
      </c>
      <c r="E59" s="16" t="s">
        <v>1752</v>
      </c>
      <c r="F59" s="18" t="s">
        <v>1789</v>
      </c>
      <c r="G59" s="19" t="s">
        <v>636</v>
      </c>
      <c r="H59" s="19" t="s">
        <v>153</v>
      </c>
      <c r="I59" s="19" t="s">
        <v>1844</v>
      </c>
      <c r="J59" s="19" t="s">
        <v>153</v>
      </c>
      <c r="K59" s="19" t="s">
        <v>153</v>
      </c>
      <c r="L59" s="19" t="s">
        <v>153</v>
      </c>
      <c r="M59" s="19" t="s">
        <v>1845</v>
      </c>
    </row>
    <row r="60" customFormat="false" ht="102.2" hidden="false" customHeight="false" outlineLevel="0" collapsed="false">
      <c r="A60" s="16" t="s">
        <v>1846</v>
      </c>
      <c r="B60" s="16" t="s">
        <v>1766</v>
      </c>
      <c r="C60" s="16" t="n">
        <v>12</v>
      </c>
      <c r="D60" s="18" t="s">
        <v>1847</v>
      </c>
      <c r="E60" s="16" t="s">
        <v>1848</v>
      </c>
      <c r="F60" s="18" t="s">
        <v>1849</v>
      </c>
      <c r="G60" s="19" t="s">
        <v>153</v>
      </c>
      <c r="H60" s="19" t="s">
        <v>1850</v>
      </c>
      <c r="I60" s="19" t="s">
        <v>153</v>
      </c>
      <c r="J60" s="19" t="s">
        <v>153</v>
      </c>
      <c r="K60" s="19" t="s">
        <v>153</v>
      </c>
      <c r="L60" s="19" t="s">
        <v>153</v>
      </c>
      <c r="M60" s="19" t="s">
        <v>153</v>
      </c>
    </row>
    <row r="61" customFormat="false" ht="57.45" hidden="false" customHeight="false" outlineLevel="0" collapsed="false">
      <c r="A61" s="16" t="s">
        <v>1851</v>
      </c>
      <c r="B61" s="16" t="s">
        <v>1766</v>
      </c>
      <c r="C61" s="16" t="n">
        <v>13</v>
      </c>
      <c r="D61" s="18" t="s">
        <v>1852</v>
      </c>
      <c r="E61" s="16" t="s">
        <v>1848</v>
      </c>
      <c r="F61" s="18" t="s">
        <v>1853</v>
      </c>
      <c r="G61" s="19" t="s">
        <v>153</v>
      </c>
      <c r="H61" s="19" t="s">
        <v>1854</v>
      </c>
      <c r="I61" s="19" t="s">
        <v>153</v>
      </c>
      <c r="J61" s="19" t="s">
        <v>153</v>
      </c>
      <c r="K61" s="19" t="s">
        <v>153</v>
      </c>
      <c r="L61" s="19" t="s">
        <v>153</v>
      </c>
      <c r="M61" s="19" t="s">
        <v>153</v>
      </c>
    </row>
    <row r="62" customFormat="false" ht="57.45" hidden="false" customHeight="false" outlineLevel="0" collapsed="false">
      <c r="A62" s="16" t="s">
        <v>1855</v>
      </c>
      <c r="B62" s="16" t="s">
        <v>1766</v>
      </c>
      <c r="C62" s="16" t="n">
        <v>14</v>
      </c>
      <c r="D62" s="18" t="s">
        <v>1856</v>
      </c>
      <c r="E62" s="16" t="s">
        <v>1848</v>
      </c>
      <c r="F62" s="18" t="s">
        <v>1857</v>
      </c>
      <c r="G62" s="19" t="s">
        <v>153</v>
      </c>
      <c r="H62" s="19" t="s">
        <v>1858</v>
      </c>
      <c r="I62" s="19" t="s">
        <v>153</v>
      </c>
      <c r="J62" s="19" t="s">
        <v>153</v>
      </c>
      <c r="K62" s="19" t="s">
        <v>153</v>
      </c>
      <c r="L62" s="19" t="s">
        <v>153</v>
      </c>
      <c r="M62" s="19" t="s">
        <v>153</v>
      </c>
    </row>
    <row r="63" customFormat="false" ht="35.05" hidden="false" customHeight="false" outlineLevel="0" collapsed="false">
      <c r="A63" s="16" t="s">
        <v>1859</v>
      </c>
      <c r="B63" s="16" t="s">
        <v>1766</v>
      </c>
      <c r="C63" s="16" t="n">
        <v>15</v>
      </c>
      <c r="D63" s="18" t="s">
        <v>1860</v>
      </c>
      <c r="E63" s="16" t="s">
        <v>1848</v>
      </c>
      <c r="F63" s="18" t="s">
        <v>1861</v>
      </c>
      <c r="G63" s="19" t="s">
        <v>153</v>
      </c>
      <c r="H63" s="19" t="s">
        <v>1862</v>
      </c>
      <c r="I63" s="19" t="s">
        <v>153</v>
      </c>
      <c r="J63" s="19" t="s">
        <v>153</v>
      </c>
      <c r="K63" s="19" t="s">
        <v>153</v>
      </c>
      <c r="L63" s="19" t="s">
        <v>153</v>
      </c>
      <c r="M63" s="19" t="s">
        <v>153</v>
      </c>
    </row>
    <row r="64" customFormat="false" ht="23.85" hidden="false" customHeight="false" outlineLevel="0" collapsed="false">
      <c r="A64" s="16" t="s">
        <v>1863</v>
      </c>
      <c r="B64" s="16" t="s">
        <v>1766</v>
      </c>
      <c r="C64" s="16" t="n">
        <v>16</v>
      </c>
      <c r="D64" s="18" t="s">
        <v>1864</v>
      </c>
      <c r="E64" s="16" t="s">
        <v>1848</v>
      </c>
      <c r="F64" s="18" t="s">
        <v>1865</v>
      </c>
      <c r="G64" s="19" t="s">
        <v>153</v>
      </c>
      <c r="H64" s="19" t="s">
        <v>1866</v>
      </c>
      <c r="I64" s="19" t="s">
        <v>153</v>
      </c>
      <c r="J64" s="19" t="s">
        <v>153</v>
      </c>
      <c r="K64" s="19" t="s">
        <v>153</v>
      </c>
      <c r="L64" s="19" t="s">
        <v>153</v>
      </c>
      <c r="M64" s="19" t="s">
        <v>153</v>
      </c>
    </row>
    <row r="65" customFormat="false" ht="23.85" hidden="false" customHeight="false" outlineLevel="0" collapsed="false">
      <c r="A65" s="16" t="s">
        <v>1867</v>
      </c>
      <c r="B65" s="16" t="s">
        <v>1766</v>
      </c>
      <c r="C65" s="16" t="n">
        <v>17</v>
      </c>
      <c r="D65" s="18" t="s">
        <v>1868</v>
      </c>
      <c r="E65" s="16" t="s">
        <v>1848</v>
      </c>
      <c r="F65" s="18" t="s">
        <v>1869</v>
      </c>
      <c r="G65" s="19" t="s">
        <v>153</v>
      </c>
      <c r="H65" s="19" t="s">
        <v>1870</v>
      </c>
      <c r="I65" s="19" t="s">
        <v>153</v>
      </c>
      <c r="J65" s="19" t="s">
        <v>153</v>
      </c>
      <c r="K65" s="19" t="s">
        <v>153</v>
      </c>
      <c r="L65" s="19" t="s">
        <v>153</v>
      </c>
      <c r="M65" s="19" t="s">
        <v>153</v>
      </c>
    </row>
    <row r="66" customFormat="false" ht="15" hidden="false" customHeight="false" outlineLevel="0" collapsed="false">
      <c r="A66" s="24" t="s">
        <v>1871</v>
      </c>
      <c r="B66" s="24" t="s">
        <v>1872</v>
      </c>
      <c r="C66" s="24" t="n">
        <v>20</v>
      </c>
      <c r="D66" s="26" t="s">
        <v>1873</v>
      </c>
      <c r="E66" s="24" t="s">
        <v>1874</v>
      </c>
      <c r="F66" s="26" t="s">
        <v>1875</v>
      </c>
      <c r="G66" s="25" t="s">
        <v>352</v>
      </c>
      <c r="H66" s="25" t="s">
        <v>153</v>
      </c>
      <c r="I66" s="25" t="s">
        <v>153</v>
      </c>
      <c r="J66" s="25" t="s">
        <v>153</v>
      </c>
      <c r="K66" s="25" t="s">
        <v>153</v>
      </c>
      <c r="L66" s="25" t="s">
        <v>153</v>
      </c>
      <c r="M66" s="25" t="s">
        <v>153</v>
      </c>
    </row>
    <row r="67" customFormat="false" ht="15" hidden="false" customHeight="false" outlineLevel="0" collapsed="false">
      <c r="A67" s="24" t="s">
        <v>1871</v>
      </c>
      <c r="B67" s="24" t="s">
        <v>1872</v>
      </c>
      <c r="C67" s="24" t="n">
        <v>20</v>
      </c>
      <c r="D67" s="26" t="s">
        <v>1873</v>
      </c>
      <c r="E67" s="24" t="s">
        <v>1874</v>
      </c>
      <c r="F67" s="26" t="s">
        <v>1876</v>
      </c>
      <c r="G67" s="25" t="s">
        <v>360</v>
      </c>
      <c r="H67" s="25" t="s">
        <v>153</v>
      </c>
      <c r="I67" s="25" t="s">
        <v>153</v>
      </c>
      <c r="J67" s="25" t="s">
        <v>153</v>
      </c>
      <c r="K67" s="25" t="s">
        <v>153</v>
      </c>
      <c r="L67" s="25" t="s">
        <v>153</v>
      </c>
      <c r="M67" s="25" t="s">
        <v>153</v>
      </c>
    </row>
    <row r="68" customFormat="false" ht="15" hidden="false" customHeight="false" outlineLevel="0" collapsed="false">
      <c r="A68" s="24" t="s">
        <v>1871</v>
      </c>
      <c r="B68" s="24" t="s">
        <v>1872</v>
      </c>
      <c r="C68" s="24" t="n">
        <v>20</v>
      </c>
      <c r="D68" s="26" t="s">
        <v>1873</v>
      </c>
      <c r="E68" s="24" t="s">
        <v>1874</v>
      </c>
      <c r="F68" s="26" t="s">
        <v>384</v>
      </c>
      <c r="G68" s="25" t="s">
        <v>382</v>
      </c>
      <c r="H68" s="25" t="s">
        <v>153</v>
      </c>
      <c r="I68" s="25" t="s">
        <v>153</v>
      </c>
      <c r="J68" s="25" t="s">
        <v>153</v>
      </c>
      <c r="K68" s="25" t="s">
        <v>153</v>
      </c>
      <c r="L68" s="25" t="s">
        <v>153</v>
      </c>
      <c r="M68" s="25" t="s">
        <v>153</v>
      </c>
    </row>
    <row r="69" customFormat="false" ht="15" hidden="false" customHeight="false" outlineLevel="0" collapsed="false">
      <c r="A69" s="24" t="s">
        <v>1871</v>
      </c>
      <c r="B69" s="24" t="s">
        <v>1872</v>
      </c>
      <c r="C69" s="24" t="n">
        <v>20</v>
      </c>
      <c r="D69" s="26" t="s">
        <v>1873</v>
      </c>
      <c r="E69" s="24" t="s">
        <v>1874</v>
      </c>
      <c r="F69" s="26" t="s">
        <v>1877</v>
      </c>
      <c r="G69" s="25" t="s">
        <v>391</v>
      </c>
      <c r="H69" s="25" t="s">
        <v>153</v>
      </c>
      <c r="I69" s="25" t="s">
        <v>153</v>
      </c>
      <c r="J69" s="25" t="s">
        <v>153</v>
      </c>
      <c r="K69" s="25" t="s">
        <v>153</v>
      </c>
      <c r="L69" s="25" t="s">
        <v>153</v>
      </c>
      <c r="M69" s="25" t="s">
        <v>153</v>
      </c>
    </row>
    <row r="70" customFormat="false" ht="15" hidden="false" customHeight="false" outlineLevel="0" collapsed="false">
      <c r="A70" s="24" t="s">
        <v>1871</v>
      </c>
      <c r="B70" s="24" t="s">
        <v>1872</v>
      </c>
      <c r="C70" s="24" t="n">
        <v>20</v>
      </c>
      <c r="D70" s="26" t="s">
        <v>1873</v>
      </c>
      <c r="E70" s="24" t="s">
        <v>1874</v>
      </c>
      <c r="F70" s="26" t="s">
        <v>398</v>
      </c>
      <c r="G70" s="25" t="s">
        <v>397</v>
      </c>
      <c r="H70" s="25" t="s">
        <v>153</v>
      </c>
      <c r="I70" s="25" t="s">
        <v>153</v>
      </c>
      <c r="J70" s="25" t="s">
        <v>153</v>
      </c>
      <c r="K70" s="25" t="s">
        <v>153</v>
      </c>
      <c r="L70" s="25" t="s">
        <v>153</v>
      </c>
      <c r="M70" s="25" t="s">
        <v>153</v>
      </c>
    </row>
    <row r="71" customFormat="false" ht="15" hidden="false" customHeight="false" outlineLevel="0" collapsed="false">
      <c r="A71" s="24" t="s">
        <v>1871</v>
      </c>
      <c r="B71" s="24" t="s">
        <v>1872</v>
      </c>
      <c r="C71" s="24" t="n">
        <v>20</v>
      </c>
      <c r="D71" s="26" t="s">
        <v>1873</v>
      </c>
      <c r="E71" s="24" t="s">
        <v>1874</v>
      </c>
      <c r="F71" s="26" t="s">
        <v>1878</v>
      </c>
      <c r="G71" s="25" t="s">
        <v>409</v>
      </c>
      <c r="H71" s="25" t="s">
        <v>153</v>
      </c>
      <c r="I71" s="25" t="s">
        <v>153</v>
      </c>
      <c r="J71" s="25" t="s">
        <v>153</v>
      </c>
      <c r="K71" s="25" t="s">
        <v>153</v>
      </c>
      <c r="L71" s="25" t="s">
        <v>153</v>
      </c>
      <c r="M71" s="25" t="s">
        <v>153</v>
      </c>
    </row>
    <row r="72" customFormat="false" ht="15" hidden="false" customHeight="false" outlineLevel="0" collapsed="false">
      <c r="A72" s="24" t="s">
        <v>1871</v>
      </c>
      <c r="B72" s="24" t="s">
        <v>1872</v>
      </c>
      <c r="C72" s="24" t="n">
        <v>20</v>
      </c>
      <c r="D72" s="26" t="s">
        <v>1873</v>
      </c>
      <c r="E72" s="24" t="s">
        <v>1874</v>
      </c>
      <c r="F72" s="26" t="s">
        <v>1879</v>
      </c>
      <c r="G72" s="25" t="s">
        <v>416</v>
      </c>
      <c r="H72" s="25" t="s">
        <v>153</v>
      </c>
      <c r="I72" s="25" t="s">
        <v>153</v>
      </c>
      <c r="J72" s="25" t="s">
        <v>153</v>
      </c>
      <c r="K72" s="25" t="s">
        <v>153</v>
      </c>
      <c r="L72" s="25" t="s">
        <v>153</v>
      </c>
      <c r="M72" s="25" t="s">
        <v>153</v>
      </c>
    </row>
    <row r="73" customFormat="false" ht="15" hidden="false" customHeight="false" outlineLevel="0" collapsed="false">
      <c r="A73" s="24" t="s">
        <v>1871</v>
      </c>
      <c r="B73" s="24" t="s">
        <v>1872</v>
      </c>
      <c r="C73" s="24" t="n">
        <v>20</v>
      </c>
      <c r="D73" s="26" t="s">
        <v>1873</v>
      </c>
      <c r="E73" s="24" t="s">
        <v>1874</v>
      </c>
      <c r="F73" s="26" t="s">
        <v>1880</v>
      </c>
      <c r="G73" s="25" t="s">
        <v>334</v>
      </c>
      <c r="H73" s="25" t="s">
        <v>153</v>
      </c>
      <c r="I73" s="25" t="s">
        <v>153</v>
      </c>
      <c r="J73" s="25" t="s">
        <v>153</v>
      </c>
      <c r="K73" s="25" t="s">
        <v>153</v>
      </c>
      <c r="L73" s="25" t="s">
        <v>153</v>
      </c>
      <c r="M73" s="25" t="s">
        <v>153</v>
      </c>
    </row>
    <row r="74" customFormat="false" ht="15" hidden="false" customHeight="false" outlineLevel="0" collapsed="false">
      <c r="A74" s="24" t="s">
        <v>1871</v>
      </c>
      <c r="B74" s="24" t="s">
        <v>1872</v>
      </c>
      <c r="C74" s="24" t="n">
        <v>20</v>
      </c>
      <c r="D74" s="26" t="s">
        <v>1873</v>
      </c>
      <c r="E74" s="24" t="s">
        <v>1874</v>
      </c>
      <c r="F74" s="26" t="s">
        <v>1881</v>
      </c>
      <c r="G74" s="25" t="s">
        <v>441</v>
      </c>
      <c r="H74" s="25" t="s">
        <v>153</v>
      </c>
      <c r="I74" s="25" t="s">
        <v>153</v>
      </c>
      <c r="J74" s="25" t="s">
        <v>153</v>
      </c>
      <c r="K74" s="25" t="s">
        <v>153</v>
      </c>
      <c r="L74" s="25" t="s">
        <v>153</v>
      </c>
      <c r="M74" s="25" t="s">
        <v>153</v>
      </c>
    </row>
    <row r="75" customFormat="false" ht="15" hidden="false" customHeight="false" outlineLevel="0" collapsed="false">
      <c r="A75" s="24" t="s">
        <v>1871</v>
      </c>
      <c r="B75" s="24" t="s">
        <v>1872</v>
      </c>
      <c r="C75" s="24" t="n">
        <v>20</v>
      </c>
      <c r="D75" s="26" t="s">
        <v>1873</v>
      </c>
      <c r="E75" s="24" t="s">
        <v>1874</v>
      </c>
      <c r="F75" s="26" t="s">
        <v>1882</v>
      </c>
      <c r="G75" s="25" t="s">
        <v>446</v>
      </c>
      <c r="H75" s="25" t="s">
        <v>153</v>
      </c>
      <c r="I75" s="25" t="s">
        <v>153</v>
      </c>
      <c r="J75" s="25" t="s">
        <v>153</v>
      </c>
      <c r="K75" s="25" t="s">
        <v>153</v>
      </c>
      <c r="L75" s="25" t="s">
        <v>153</v>
      </c>
      <c r="M75" s="25" t="s">
        <v>153</v>
      </c>
    </row>
    <row r="76" customFormat="false" ht="15" hidden="false" customHeight="false" outlineLevel="0" collapsed="false">
      <c r="A76" s="24" t="s">
        <v>1871</v>
      </c>
      <c r="B76" s="24" t="s">
        <v>1872</v>
      </c>
      <c r="C76" s="24" t="n">
        <v>20</v>
      </c>
      <c r="D76" s="26" t="s">
        <v>1873</v>
      </c>
      <c r="E76" s="24" t="s">
        <v>1874</v>
      </c>
      <c r="F76" s="26" t="s">
        <v>1883</v>
      </c>
      <c r="G76" s="25" t="s">
        <v>453</v>
      </c>
      <c r="H76" s="25" t="s">
        <v>153</v>
      </c>
      <c r="I76" s="25" t="s">
        <v>153</v>
      </c>
      <c r="J76" s="25" t="s">
        <v>153</v>
      </c>
      <c r="K76" s="25" t="s">
        <v>153</v>
      </c>
      <c r="L76" s="25" t="s">
        <v>153</v>
      </c>
      <c r="M76" s="25" t="s">
        <v>153</v>
      </c>
    </row>
    <row r="77" customFormat="false" ht="15" hidden="false" customHeight="false" outlineLevel="0" collapsed="false">
      <c r="A77" s="24" t="s">
        <v>1871</v>
      </c>
      <c r="B77" s="24" t="s">
        <v>1872</v>
      </c>
      <c r="C77" s="24" t="n">
        <v>20</v>
      </c>
      <c r="D77" s="26" t="s">
        <v>1873</v>
      </c>
      <c r="E77" s="24" t="s">
        <v>1874</v>
      </c>
      <c r="F77" s="26" t="s">
        <v>461</v>
      </c>
      <c r="G77" s="25" t="s">
        <v>460</v>
      </c>
      <c r="H77" s="25" t="s">
        <v>153</v>
      </c>
      <c r="I77" s="25" t="s">
        <v>153</v>
      </c>
      <c r="J77" s="25" t="s">
        <v>153</v>
      </c>
      <c r="K77" s="25" t="s">
        <v>153</v>
      </c>
      <c r="L77" s="25" t="s">
        <v>153</v>
      </c>
      <c r="M77" s="25" t="s">
        <v>153</v>
      </c>
    </row>
    <row r="78" customFormat="false" ht="15" hidden="false" customHeight="false" outlineLevel="0" collapsed="false">
      <c r="A78" s="24" t="s">
        <v>1871</v>
      </c>
      <c r="B78" s="24" t="s">
        <v>1872</v>
      </c>
      <c r="C78" s="24" t="n">
        <v>20</v>
      </c>
      <c r="D78" s="26" t="s">
        <v>1873</v>
      </c>
      <c r="E78" s="24" t="s">
        <v>1874</v>
      </c>
      <c r="F78" s="26" t="s">
        <v>1884</v>
      </c>
      <c r="G78" s="25" t="s">
        <v>316</v>
      </c>
      <c r="H78" s="25" t="s">
        <v>153</v>
      </c>
      <c r="I78" s="25" t="s">
        <v>1885</v>
      </c>
      <c r="J78" s="25" t="s">
        <v>153</v>
      </c>
      <c r="K78" s="25" t="s">
        <v>153</v>
      </c>
      <c r="L78" s="25" t="s">
        <v>153</v>
      </c>
      <c r="M78" s="25" t="s">
        <v>153</v>
      </c>
    </row>
    <row r="79" customFormat="false" ht="15" hidden="false" customHeight="false" outlineLevel="0" collapsed="false">
      <c r="A79" s="24" t="s">
        <v>1871</v>
      </c>
      <c r="B79" s="24" t="s">
        <v>1872</v>
      </c>
      <c r="C79" s="24" t="n">
        <v>20</v>
      </c>
      <c r="D79" s="26" t="s">
        <v>1873</v>
      </c>
      <c r="E79" s="24" t="s">
        <v>1874</v>
      </c>
      <c r="F79" s="26" t="s">
        <v>289</v>
      </c>
      <c r="G79" s="25" t="s">
        <v>288</v>
      </c>
      <c r="H79" s="25" t="s">
        <v>153</v>
      </c>
      <c r="I79" s="25" t="s">
        <v>153</v>
      </c>
      <c r="J79" s="25" t="s">
        <v>153</v>
      </c>
      <c r="K79" s="25" t="s">
        <v>153</v>
      </c>
      <c r="L79" s="25" t="s">
        <v>153</v>
      </c>
      <c r="M79" s="25" t="s">
        <v>153</v>
      </c>
    </row>
    <row r="80" customFormat="false" ht="15" hidden="false" customHeight="false" outlineLevel="0" collapsed="false">
      <c r="A80" s="24" t="s">
        <v>1871</v>
      </c>
      <c r="B80" s="24" t="s">
        <v>1872</v>
      </c>
      <c r="C80" s="24" t="n">
        <v>20</v>
      </c>
      <c r="D80" s="26" t="s">
        <v>1873</v>
      </c>
      <c r="E80" s="24" t="s">
        <v>1874</v>
      </c>
      <c r="F80" s="26" t="s">
        <v>1886</v>
      </c>
      <c r="G80" s="25" t="s">
        <v>647</v>
      </c>
      <c r="H80" s="25" t="s">
        <v>153</v>
      </c>
      <c r="I80" s="25" t="s">
        <v>1887</v>
      </c>
      <c r="J80" s="25" t="s">
        <v>153</v>
      </c>
      <c r="K80" s="25" t="s">
        <v>153</v>
      </c>
      <c r="L80" s="25" t="s">
        <v>153</v>
      </c>
      <c r="M80" s="25" t="s">
        <v>153</v>
      </c>
    </row>
    <row r="81" customFormat="false" ht="15" hidden="false" customHeight="false" outlineLevel="0" collapsed="false">
      <c r="A81" s="24" t="s">
        <v>1871</v>
      </c>
      <c r="B81" s="24" t="s">
        <v>1872</v>
      </c>
      <c r="C81" s="24" t="n">
        <v>20</v>
      </c>
      <c r="D81" s="26" t="s">
        <v>1873</v>
      </c>
      <c r="E81" s="24" t="s">
        <v>1874</v>
      </c>
      <c r="F81" s="26" t="s">
        <v>714</v>
      </c>
      <c r="G81" s="25" t="s">
        <v>713</v>
      </c>
      <c r="H81" s="25" t="s">
        <v>153</v>
      </c>
      <c r="I81" s="25" t="s">
        <v>153</v>
      </c>
      <c r="J81" s="25" t="s">
        <v>153</v>
      </c>
      <c r="K81" s="25" t="s">
        <v>153</v>
      </c>
      <c r="L81" s="25" t="s">
        <v>153</v>
      </c>
      <c r="M81" s="25" t="s">
        <v>153</v>
      </c>
    </row>
    <row r="82" customFormat="false" ht="15" hidden="false" customHeight="false" outlineLevel="0" collapsed="false">
      <c r="A82" s="24" t="s">
        <v>1871</v>
      </c>
      <c r="B82" s="24" t="s">
        <v>1872</v>
      </c>
      <c r="C82" s="24" t="n">
        <v>20</v>
      </c>
      <c r="D82" s="26" t="s">
        <v>1873</v>
      </c>
      <c r="E82" s="24" t="s">
        <v>1874</v>
      </c>
      <c r="F82" s="26" t="s">
        <v>1888</v>
      </c>
      <c r="G82" s="25" t="s">
        <v>694</v>
      </c>
      <c r="H82" s="25" t="s">
        <v>153</v>
      </c>
      <c r="I82" s="25" t="s">
        <v>153</v>
      </c>
      <c r="J82" s="25" t="s">
        <v>153</v>
      </c>
      <c r="K82" s="25" t="s">
        <v>153</v>
      </c>
      <c r="L82" s="25" t="s">
        <v>153</v>
      </c>
      <c r="M82" s="25" t="s">
        <v>153</v>
      </c>
    </row>
    <row r="83" customFormat="false" ht="15" hidden="false" customHeight="false" outlineLevel="0" collapsed="false">
      <c r="A83" s="24" t="s">
        <v>1871</v>
      </c>
      <c r="B83" s="24" t="s">
        <v>1872</v>
      </c>
      <c r="C83" s="24" t="n">
        <v>20</v>
      </c>
      <c r="D83" s="26" t="s">
        <v>1873</v>
      </c>
      <c r="E83" s="24" t="s">
        <v>1874</v>
      </c>
      <c r="F83" s="26" t="s">
        <v>1889</v>
      </c>
      <c r="G83" s="25" t="s">
        <v>789</v>
      </c>
      <c r="H83" s="25" t="s">
        <v>153</v>
      </c>
      <c r="I83" s="25" t="s">
        <v>153</v>
      </c>
      <c r="J83" s="25" t="s">
        <v>153</v>
      </c>
      <c r="K83" s="25" t="s">
        <v>153</v>
      </c>
      <c r="L83" s="25" t="s">
        <v>153</v>
      </c>
      <c r="M83" s="25" t="s">
        <v>153</v>
      </c>
    </row>
    <row r="84" customFormat="false" ht="15" hidden="false" customHeight="false" outlineLevel="0" collapsed="false">
      <c r="A84" s="24" t="s">
        <v>1871</v>
      </c>
      <c r="B84" s="24" t="s">
        <v>1872</v>
      </c>
      <c r="C84" s="24" t="n">
        <v>20</v>
      </c>
      <c r="D84" s="26" t="s">
        <v>1873</v>
      </c>
      <c r="E84" s="24" t="s">
        <v>1874</v>
      </c>
      <c r="F84" s="26" t="s">
        <v>799</v>
      </c>
      <c r="G84" s="25" t="s">
        <v>798</v>
      </c>
      <c r="H84" s="25" t="s">
        <v>153</v>
      </c>
      <c r="I84" s="25" t="s">
        <v>153</v>
      </c>
      <c r="J84" s="25" t="s">
        <v>153</v>
      </c>
      <c r="K84" s="25" t="s">
        <v>153</v>
      </c>
      <c r="L84" s="25" t="s">
        <v>153</v>
      </c>
      <c r="M84" s="25" t="s">
        <v>153</v>
      </c>
    </row>
    <row r="85" customFormat="false" ht="15" hidden="false" customHeight="false" outlineLevel="0" collapsed="false">
      <c r="A85" s="24" t="s">
        <v>1871</v>
      </c>
      <c r="B85" s="24" t="s">
        <v>1872</v>
      </c>
      <c r="C85" s="24" t="n">
        <v>20</v>
      </c>
      <c r="D85" s="26" t="s">
        <v>1873</v>
      </c>
      <c r="E85" s="24" t="s">
        <v>1874</v>
      </c>
      <c r="F85" s="26" t="s">
        <v>1890</v>
      </c>
      <c r="G85" s="25" t="s">
        <v>1891</v>
      </c>
      <c r="H85" s="25" t="s">
        <v>153</v>
      </c>
      <c r="I85" s="25" t="s">
        <v>1892</v>
      </c>
      <c r="J85" s="25" t="s">
        <v>153</v>
      </c>
      <c r="K85" s="25" t="s">
        <v>153</v>
      </c>
      <c r="L85" s="25" t="s">
        <v>153</v>
      </c>
      <c r="M85" s="25" t="s">
        <v>153</v>
      </c>
    </row>
    <row r="86" customFormat="false" ht="15" hidden="false" customHeight="false" outlineLevel="0" collapsed="false">
      <c r="A86" s="24" t="s">
        <v>1871</v>
      </c>
      <c r="B86" s="24" t="s">
        <v>1872</v>
      </c>
      <c r="C86" s="24" t="n">
        <v>20</v>
      </c>
      <c r="D86" s="26" t="s">
        <v>1873</v>
      </c>
      <c r="E86" s="24" t="s">
        <v>1874</v>
      </c>
      <c r="F86" s="26" t="s">
        <v>1893</v>
      </c>
      <c r="G86" s="25" t="s">
        <v>603</v>
      </c>
      <c r="H86" s="25" t="s">
        <v>153</v>
      </c>
      <c r="I86" s="25" t="s">
        <v>153</v>
      </c>
      <c r="J86" s="25" t="s">
        <v>153</v>
      </c>
      <c r="K86" s="25" t="s">
        <v>153</v>
      </c>
      <c r="L86" s="25" t="s">
        <v>153</v>
      </c>
      <c r="M86" s="25" t="s">
        <v>153</v>
      </c>
    </row>
    <row r="87" customFormat="false" ht="15" hidden="false" customHeight="false" outlineLevel="0" collapsed="false">
      <c r="A87" s="24" t="s">
        <v>1871</v>
      </c>
      <c r="B87" s="24" t="s">
        <v>1872</v>
      </c>
      <c r="C87" s="24" t="n">
        <v>20</v>
      </c>
      <c r="D87" s="26" t="s">
        <v>1873</v>
      </c>
      <c r="E87" s="24" t="s">
        <v>1874</v>
      </c>
      <c r="F87" s="26" t="s">
        <v>1894</v>
      </c>
      <c r="G87" s="25" t="s">
        <v>838</v>
      </c>
      <c r="H87" s="25" t="s">
        <v>153</v>
      </c>
      <c r="I87" s="25" t="s">
        <v>153</v>
      </c>
      <c r="J87" s="25" t="s">
        <v>153</v>
      </c>
      <c r="K87" s="25" t="s">
        <v>153</v>
      </c>
      <c r="L87" s="25" t="s">
        <v>153</v>
      </c>
      <c r="M87" s="25" t="s">
        <v>153</v>
      </c>
    </row>
  </sheetData>
  <autoFilter ref="A5:M8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3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7" min="7" style="0" width="60"/>
  </cols>
  <sheetData>
    <row r="2" customFormat="false" ht="19.7" hidden="false" customHeight="false" outlineLevel="0" collapsed="false">
      <c r="A2" s="1" t="s">
        <v>1895</v>
      </c>
    </row>
    <row r="3" customFormat="false" ht="15" hidden="false" customHeight="false" outlineLevel="0" collapsed="false">
      <c r="A3" s="2" t="s">
        <v>1896</v>
      </c>
    </row>
    <row r="5" customFormat="false" ht="31.5" hidden="false" customHeight="true" outlineLevel="0" collapsed="false">
      <c r="A5" s="9" t="s">
        <v>1897</v>
      </c>
      <c r="B5" s="9" t="s">
        <v>38</v>
      </c>
      <c r="C5" s="9" t="s">
        <v>1898</v>
      </c>
      <c r="D5" s="9" t="s">
        <v>1739</v>
      </c>
      <c r="E5" s="9" t="s">
        <v>1899</v>
      </c>
      <c r="F5" s="9" t="s">
        <v>1900</v>
      </c>
      <c r="G5" s="9" t="s">
        <v>1901</v>
      </c>
    </row>
    <row r="6" customFormat="false" ht="15" hidden="false" customHeight="false" outlineLevel="0" collapsed="false">
      <c r="A6" s="16" t="s">
        <v>913</v>
      </c>
      <c r="B6" s="16" t="s">
        <v>913</v>
      </c>
      <c r="C6" s="19" t="s">
        <v>1902</v>
      </c>
      <c r="D6" s="18" t="s">
        <v>1903</v>
      </c>
      <c r="E6" s="16" t="s">
        <v>1904</v>
      </c>
      <c r="F6" s="16" t="s">
        <v>1905</v>
      </c>
      <c r="G6" s="19" t="s">
        <v>153</v>
      </c>
    </row>
    <row r="7" customFormat="false" ht="15" hidden="false" customHeight="false" outlineLevel="0" collapsed="false">
      <c r="A7" s="16" t="s">
        <v>934</v>
      </c>
      <c r="B7" s="16" t="s">
        <v>934</v>
      </c>
      <c r="C7" s="19" t="s">
        <v>1772</v>
      </c>
      <c r="D7" s="18" t="s">
        <v>1903</v>
      </c>
      <c r="E7" s="16" t="s">
        <v>1904</v>
      </c>
      <c r="F7" s="16" t="s">
        <v>1905</v>
      </c>
      <c r="G7" s="19" t="s">
        <v>153</v>
      </c>
    </row>
    <row r="8" customFormat="false" ht="15" hidden="false" customHeight="false" outlineLevel="0" collapsed="false">
      <c r="A8" s="16" t="s">
        <v>946</v>
      </c>
      <c r="B8" s="16" t="s">
        <v>946</v>
      </c>
      <c r="C8" s="19" t="s">
        <v>1775</v>
      </c>
      <c r="D8" s="18" t="s">
        <v>1903</v>
      </c>
      <c r="E8" s="16" t="s">
        <v>1904</v>
      </c>
      <c r="F8" s="16" t="s">
        <v>1905</v>
      </c>
      <c r="G8" s="19" t="s">
        <v>153</v>
      </c>
    </row>
    <row r="9" customFormat="false" ht="15" hidden="false" customHeight="false" outlineLevel="0" collapsed="false">
      <c r="A9" s="16" t="s">
        <v>970</v>
      </c>
      <c r="B9" s="16" t="s">
        <v>970</v>
      </c>
      <c r="C9" s="19" t="s">
        <v>1780</v>
      </c>
      <c r="D9" s="18" t="s">
        <v>1906</v>
      </c>
      <c r="E9" s="16" t="s">
        <v>1904</v>
      </c>
      <c r="F9" s="16" t="s">
        <v>1905</v>
      </c>
      <c r="G9" s="19" t="s">
        <v>153</v>
      </c>
    </row>
    <row r="10" customFormat="false" ht="15" hidden="false" customHeight="false" outlineLevel="0" collapsed="false">
      <c r="A10" s="16" t="s">
        <v>986</v>
      </c>
      <c r="B10" s="16" t="s">
        <v>986</v>
      </c>
      <c r="C10" s="19" t="s">
        <v>1778</v>
      </c>
      <c r="D10" s="18" t="s">
        <v>1907</v>
      </c>
      <c r="E10" s="16" t="s">
        <v>1904</v>
      </c>
      <c r="F10" s="16" t="s">
        <v>1905</v>
      </c>
      <c r="G10" s="19" t="s">
        <v>153</v>
      </c>
    </row>
    <row r="11" customFormat="false" ht="23.85" hidden="false" customHeight="false" outlineLevel="0" collapsed="false">
      <c r="A11" s="16" t="s">
        <v>990</v>
      </c>
      <c r="B11" s="16" t="s">
        <v>990</v>
      </c>
      <c r="C11" s="19" t="s">
        <v>1908</v>
      </c>
      <c r="D11" s="18" t="s">
        <v>1909</v>
      </c>
      <c r="E11" s="16" t="s">
        <v>1904</v>
      </c>
      <c r="F11" s="16" t="s">
        <v>1905</v>
      </c>
      <c r="G11" s="19" t="s">
        <v>1910</v>
      </c>
    </row>
    <row r="12" customFormat="false" ht="15" hidden="false" customHeight="false" outlineLevel="0" collapsed="false">
      <c r="A12" s="16" t="s">
        <v>1003</v>
      </c>
      <c r="B12" s="16" t="s">
        <v>1003</v>
      </c>
      <c r="C12" s="19" t="s">
        <v>1794</v>
      </c>
      <c r="D12" s="18" t="s">
        <v>1911</v>
      </c>
      <c r="E12" s="16" t="s">
        <v>1904</v>
      </c>
      <c r="F12" s="16" t="s">
        <v>1905</v>
      </c>
      <c r="G12" s="19" t="s">
        <v>153</v>
      </c>
    </row>
    <row r="13" customFormat="false" ht="23.85" hidden="false" customHeight="false" outlineLevel="0" collapsed="false">
      <c r="A13" s="16" t="s">
        <v>1912</v>
      </c>
      <c r="B13" s="16" t="s">
        <v>1913</v>
      </c>
      <c r="C13" s="19" t="s">
        <v>1914</v>
      </c>
      <c r="D13" s="18" t="s">
        <v>1915</v>
      </c>
      <c r="E13" s="16" t="s">
        <v>1904</v>
      </c>
      <c r="F13" s="16" t="s">
        <v>1905</v>
      </c>
      <c r="G13" s="19" t="s">
        <v>1916</v>
      </c>
    </row>
    <row r="14" customFormat="false" ht="23.85" hidden="false" customHeight="false" outlineLevel="0" collapsed="false">
      <c r="A14" s="16" t="s">
        <v>1917</v>
      </c>
      <c r="B14" s="16" t="s">
        <v>1918</v>
      </c>
      <c r="C14" s="19" t="s">
        <v>1919</v>
      </c>
      <c r="D14" s="18" t="s">
        <v>1915</v>
      </c>
      <c r="E14" s="16" t="s">
        <v>1904</v>
      </c>
      <c r="F14" s="16" t="s">
        <v>1905</v>
      </c>
      <c r="G14" s="19" t="s">
        <v>1916</v>
      </c>
    </row>
    <row r="15" customFormat="false" ht="23.85" hidden="false" customHeight="false" outlineLevel="0" collapsed="false">
      <c r="A15" s="16" t="s">
        <v>1920</v>
      </c>
      <c r="B15" s="16" t="s">
        <v>1921</v>
      </c>
      <c r="C15" s="19" t="s">
        <v>1922</v>
      </c>
      <c r="D15" s="18" t="s">
        <v>1915</v>
      </c>
      <c r="E15" s="16" t="s">
        <v>1904</v>
      </c>
      <c r="F15" s="16" t="s">
        <v>1905</v>
      </c>
      <c r="G15" s="19" t="s">
        <v>1916</v>
      </c>
    </row>
    <row r="16" customFormat="false" ht="23.85" hidden="false" customHeight="false" outlineLevel="0" collapsed="false">
      <c r="A16" s="16" t="s">
        <v>1923</v>
      </c>
      <c r="B16" s="16" t="s">
        <v>1924</v>
      </c>
      <c r="C16" s="19" t="s">
        <v>1925</v>
      </c>
      <c r="D16" s="18" t="s">
        <v>1926</v>
      </c>
      <c r="E16" s="16" t="s">
        <v>1904</v>
      </c>
      <c r="F16" s="16" t="s">
        <v>1905</v>
      </c>
      <c r="G16" s="19" t="s">
        <v>1916</v>
      </c>
    </row>
    <row r="17" customFormat="false" ht="23.85" hidden="false" customHeight="false" outlineLevel="0" collapsed="false">
      <c r="A17" s="16" t="s">
        <v>1927</v>
      </c>
      <c r="B17" s="16" t="s">
        <v>1928</v>
      </c>
      <c r="C17" s="19" t="s">
        <v>1929</v>
      </c>
      <c r="D17" s="18" t="s">
        <v>1930</v>
      </c>
      <c r="E17" s="16" t="s">
        <v>1904</v>
      </c>
      <c r="F17" s="16" t="s">
        <v>1905</v>
      </c>
      <c r="G17" s="19" t="s">
        <v>1916</v>
      </c>
    </row>
    <row r="18" customFormat="false" ht="23.85" hidden="false" customHeight="false" outlineLevel="0" collapsed="false">
      <c r="A18" s="16" t="s">
        <v>1007</v>
      </c>
      <c r="B18" s="16" t="s">
        <v>1007</v>
      </c>
      <c r="C18" s="19" t="s">
        <v>1931</v>
      </c>
      <c r="D18" s="18" t="s">
        <v>1932</v>
      </c>
      <c r="E18" s="16" t="s">
        <v>1904</v>
      </c>
      <c r="F18" s="16" t="s">
        <v>1933</v>
      </c>
      <c r="G18" s="19" t="s">
        <v>153</v>
      </c>
    </row>
    <row r="19" customFormat="false" ht="23.85" hidden="false" customHeight="false" outlineLevel="0" collapsed="false">
      <c r="A19" s="16" t="s">
        <v>1031</v>
      </c>
      <c r="B19" s="16" t="s">
        <v>1031</v>
      </c>
      <c r="C19" s="19" t="s">
        <v>1934</v>
      </c>
      <c r="D19" s="18" t="s">
        <v>1932</v>
      </c>
      <c r="E19" s="16" t="s">
        <v>1904</v>
      </c>
      <c r="F19" s="16" t="s">
        <v>1933</v>
      </c>
      <c r="G19" s="19" t="s">
        <v>153</v>
      </c>
    </row>
    <row r="20" customFormat="false" ht="23.85" hidden="false" customHeight="false" outlineLevel="0" collapsed="false">
      <c r="A20" s="16" t="s">
        <v>1567</v>
      </c>
      <c r="B20" s="16" t="s">
        <v>1567</v>
      </c>
      <c r="C20" s="19" t="s">
        <v>1935</v>
      </c>
      <c r="D20" s="18" t="s">
        <v>1936</v>
      </c>
      <c r="E20" s="16" t="s">
        <v>1904</v>
      </c>
      <c r="F20" s="16" t="s">
        <v>1933</v>
      </c>
      <c r="G20" s="19" t="s">
        <v>153</v>
      </c>
    </row>
    <row r="21" customFormat="false" ht="23.85" hidden="false" customHeight="false" outlineLevel="0" collapsed="false">
      <c r="A21" s="16" t="s">
        <v>1085</v>
      </c>
      <c r="B21" s="16" t="s">
        <v>1085</v>
      </c>
      <c r="C21" s="19" t="s">
        <v>261</v>
      </c>
      <c r="D21" s="18" t="s">
        <v>1937</v>
      </c>
      <c r="E21" s="16" t="s">
        <v>1904</v>
      </c>
      <c r="F21" s="16" t="s">
        <v>1933</v>
      </c>
      <c r="G21" s="19" t="s">
        <v>153</v>
      </c>
    </row>
    <row r="22" customFormat="false" ht="23.85" hidden="false" customHeight="false" outlineLevel="0" collapsed="false">
      <c r="A22" s="16" t="s">
        <v>1587</v>
      </c>
      <c r="B22" s="16" t="s">
        <v>1587</v>
      </c>
      <c r="C22" s="19" t="s">
        <v>1804</v>
      </c>
      <c r="D22" s="18" t="s">
        <v>1938</v>
      </c>
      <c r="E22" s="16" t="s">
        <v>1904</v>
      </c>
      <c r="F22" s="16" t="s">
        <v>1905</v>
      </c>
      <c r="G22" s="19" t="s">
        <v>153</v>
      </c>
    </row>
    <row r="23" customFormat="false" ht="15" hidden="false" customHeight="false" outlineLevel="0" collapsed="false">
      <c r="A23" s="16" t="s">
        <v>1545</v>
      </c>
      <c r="B23" s="16" t="s">
        <v>1545</v>
      </c>
      <c r="C23" s="19" t="s">
        <v>295</v>
      </c>
      <c r="D23" s="18" t="s">
        <v>1939</v>
      </c>
      <c r="E23" s="16" t="s">
        <v>1904</v>
      </c>
      <c r="F23" s="16" t="s">
        <v>1933</v>
      </c>
      <c r="G23" s="19" t="s">
        <v>153</v>
      </c>
    </row>
    <row r="24" customFormat="false" ht="23.85" hidden="false" customHeight="false" outlineLevel="0" collapsed="false">
      <c r="A24" s="16" t="s">
        <v>1692</v>
      </c>
      <c r="B24" s="16" t="s">
        <v>1692</v>
      </c>
      <c r="C24" s="19" t="s">
        <v>1940</v>
      </c>
      <c r="D24" s="18" t="s">
        <v>1941</v>
      </c>
      <c r="E24" s="16" t="s">
        <v>1904</v>
      </c>
      <c r="F24" s="16" t="s">
        <v>1933</v>
      </c>
      <c r="G24" s="19" t="s">
        <v>153</v>
      </c>
    </row>
    <row r="25" customFormat="false" ht="23.85" hidden="false" customHeight="false" outlineLevel="0" collapsed="false">
      <c r="A25" s="16" t="s">
        <v>1562</v>
      </c>
      <c r="B25" s="16" t="s">
        <v>1562</v>
      </c>
      <c r="C25" s="19" t="s">
        <v>1942</v>
      </c>
      <c r="D25" s="18" t="s">
        <v>1943</v>
      </c>
      <c r="E25" s="16" t="s">
        <v>1904</v>
      </c>
      <c r="F25" s="16" t="s">
        <v>1905</v>
      </c>
      <c r="G25" s="19" t="s">
        <v>153</v>
      </c>
    </row>
    <row r="26" customFormat="false" ht="23.85" hidden="false" customHeight="false" outlineLevel="0" collapsed="false">
      <c r="A26" s="16" t="s">
        <v>1577</v>
      </c>
      <c r="B26" s="16" t="s">
        <v>1577</v>
      </c>
      <c r="C26" s="19" t="s">
        <v>1944</v>
      </c>
      <c r="D26" s="18" t="s">
        <v>1945</v>
      </c>
      <c r="E26" s="16" t="s">
        <v>1904</v>
      </c>
      <c r="F26" s="16" t="s">
        <v>1946</v>
      </c>
      <c r="G26" s="19" t="s">
        <v>1947</v>
      </c>
    </row>
    <row r="27" customFormat="false" ht="15" hidden="false" customHeight="false" outlineLevel="0" collapsed="false">
      <c r="A27" s="16" t="s">
        <v>1295</v>
      </c>
      <c r="B27" s="16" t="s">
        <v>1295</v>
      </c>
      <c r="C27" s="19" t="s">
        <v>1948</v>
      </c>
      <c r="D27" s="18" t="s">
        <v>1949</v>
      </c>
      <c r="E27" s="16" t="s">
        <v>1904</v>
      </c>
      <c r="F27" s="16" t="s">
        <v>1950</v>
      </c>
      <c r="G27" s="19" t="s">
        <v>1951</v>
      </c>
    </row>
    <row r="28" customFormat="false" ht="23.85" hidden="false" customHeight="false" outlineLevel="0" collapsed="false">
      <c r="A28" s="16" t="s">
        <v>1302</v>
      </c>
      <c r="B28" s="16" t="s">
        <v>1302</v>
      </c>
      <c r="C28" s="19" t="s">
        <v>1948</v>
      </c>
      <c r="D28" s="18" t="s">
        <v>1952</v>
      </c>
      <c r="E28" s="16" t="s">
        <v>1904</v>
      </c>
      <c r="F28" s="16" t="s">
        <v>639</v>
      </c>
      <c r="G28" s="19" t="s">
        <v>1953</v>
      </c>
    </row>
    <row r="29" customFormat="false" ht="15" hidden="false" customHeight="false" outlineLevel="0" collapsed="false">
      <c r="A29" s="16" t="s">
        <v>1319</v>
      </c>
      <c r="B29" s="16" t="s">
        <v>1319</v>
      </c>
      <c r="C29" s="19" t="s">
        <v>1954</v>
      </c>
      <c r="D29" s="18" t="s">
        <v>1955</v>
      </c>
      <c r="E29" s="16" t="s">
        <v>1904</v>
      </c>
      <c r="F29" s="16" t="s">
        <v>1905</v>
      </c>
      <c r="G29" s="19" t="s">
        <v>153</v>
      </c>
    </row>
    <row r="30" customFormat="false" ht="15" hidden="false" customHeight="false" outlineLevel="0" collapsed="false">
      <c r="A30" s="16" t="s">
        <v>1381</v>
      </c>
      <c r="B30" s="16" t="s">
        <v>1381</v>
      </c>
      <c r="C30" s="19" t="s">
        <v>1956</v>
      </c>
      <c r="D30" s="18" t="s">
        <v>1957</v>
      </c>
      <c r="E30" s="16" t="s">
        <v>1904</v>
      </c>
      <c r="F30" s="16" t="s">
        <v>1946</v>
      </c>
      <c r="G30" s="19" t="s">
        <v>153</v>
      </c>
    </row>
    <row r="31" customFormat="false" ht="15" hidden="false" customHeight="false" outlineLevel="0" collapsed="false">
      <c r="A31" s="16" t="s">
        <v>1667</v>
      </c>
      <c r="B31" s="16" t="s">
        <v>1667</v>
      </c>
      <c r="C31" s="19" t="s">
        <v>1958</v>
      </c>
      <c r="D31" s="18" t="s">
        <v>1959</v>
      </c>
      <c r="E31" s="16" t="s">
        <v>1904</v>
      </c>
      <c r="F31" s="16" t="s">
        <v>1960</v>
      </c>
      <c r="G31" s="19" t="s">
        <v>1961</v>
      </c>
    </row>
    <row r="32" customFormat="false" ht="23.85" hidden="false" customHeight="false" outlineLevel="0" collapsed="false">
      <c r="A32" s="16" t="s">
        <v>1239</v>
      </c>
      <c r="B32" s="16" t="s">
        <v>1239</v>
      </c>
      <c r="C32" s="19" t="s">
        <v>1962</v>
      </c>
      <c r="D32" s="18" t="s">
        <v>1963</v>
      </c>
      <c r="E32" s="16" t="s">
        <v>1964</v>
      </c>
      <c r="F32" s="16" t="s">
        <v>153</v>
      </c>
      <c r="G32" s="19" t="s">
        <v>1965</v>
      </c>
    </row>
    <row r="33" customFormat="false" ht="35.05" hidden="false" customHeight="false" outlineLevel="0" collapsed="false">
      <c r="A33" s="16" t="s">
        <v>1359</v>
      </c>
      <c r="B33" s="16" t="s">
        <v>1359</v>
      </c>
      <c r="C33" s="19" t="s">
        <v>1966</v>
      </c>
      <c r="D33" s="18" t="s">
        <v>1967</v>
      </c>
      <c r="E33" s="16" t="s">
        <v>1968</v>
      </c>
      <c r="F33" s="16" t="s">
        <v>639</v>
      </c>
      <c r="G33" s="19" t="s">
        <v>1969</v>
      </c>
    </row>
    <row r="34" customFormat="false" ht="23.85" hidden="false" customHeight="false" outlineLevel="0" collapsed="false">
      <c r="A34" s="16" t="s">
        <v>1720</v>
      </c>
      <c r="B34" s="16" t="s">
        <v>1720</v>
      </c>
      <c r="C34" s="19" t="s">
        <v>1834</v>
      </c>
      <c r="D34" s="18" t="s">
        <v>1970</v>
      </c>
      <c r="E34" s="16" t="s">
        <v>1971</v>
      </c>
      <c r="F34" s="16" t="s">
        <v>1933</v>
      </c>
      <c r="G34" s="19" t="s">
        <v>1972</v>
      </c>
    </row>
    <row r="35" customFormat="false" ht="23.85" hidden="false" customHeight="false" outlineLevel="0" collapsed="false">
      <c r="A35" s="16" t="s">
        <v>1725</v>
      </c>
      <c r="B35" s="16" t="s">
        <v>1725</v>
      </c>
      <c r="C35" s="19" t="s">
        <v>1837</v>
      </c>
      <c r="D35" s="18" t="s">
        <v>1973</v>
      </c>
      <c r="E35" s="16" t="s">
        <v>1971</v>
      </c>
      <c r="F35" s="16" t="s">
        <v>1960</v>
      </c>
      <c r="G35" s="19" t="s">
        <v>1974</v>
      </c>
    </row>
    <row r="36" customFormat="false" ht="23.85" hidden="false" customHeight="false" outlineLevel="0" collapsed="false">
      <c r="A36" s="16" t="s">
        <v>1642</v>
      </c>
      <c r="B36" s="16" t="s">
        <v>1642</v>
      </c>
      <c r="C36" s="19" t="s">
        <v>1975</v>
      </c>
      <c r="D36" s="18" t="s">
        <v>1976</v>
      </c>
      <c r="E36" s="16" t="s">
        <v>1977</v>
      </c>
      <c r="F36" s="16" t="s">
        <v>153</v>
      </c>
      <c r="G36" s="19" t="s">
        <v>1978</v>
      </c>
    </row>
    <row r="37" customFormat="false" ht="15" hidden="false" customHeight="false" outlineLevel="0" collapsed="false">
      <c r="A37" s="29" t="s">
        <v>1355</v>
      </c>
      <c r="B37" s="29" t="s">
        <v>1355</v>
      </c>
      <c r="C37" s="21" t="s">
        <v>1966</v>
      </c>
      <c r="D37" s="30" t="s">
        <v>153</v>
      </c>
      <c r="E37" s="29" t="s">
        <v>76</v>
      </c>
      <c r="F37" s="29" t="s">
        <v>153</v>
      </c>
      <c r="G37" s="21" t="s">
        <v>1979</v>
      </c>
    </row>
    <row r="38" customFormat="false" ht="15" hidden="false" customHeight="false" outlineLevel="0" collapsed="false">
      <c r="A38" s="29" t="s">
        <v>1376</v>
      </c>
      <c r="B38" s="29" t="s">
        <v>1376</v>
      </c>
      <c r="C38" s="21" t="s">
        <v>1956</v>
      </c>
      <c r="D38" s="30" t="s">
        <v>153</v>
      </c>
      <c r="E38" s="29" t="s">
        <v>76</v>
      </c>
      <c r="F38" s="29" t="s">
        <v>153</v>
      </c>
      <c r="G38" s="21" t="s">
        <v>1980</v>
      </c>
    </row>
    <row r="39" customFormat="false" ht="23.85" hidden="false" customHeight="false" outlineLevel="0" collapsed="false">
      <c r="A39" s="29" t="s">
        <v>1411</v>
      </c>
      <c r="B39" s="29" t="s">
        <v>1411</v>
      </c>
      <c r="C39" s="21" t="s">
        <v>735</v>
      </c>
      <c r="D39" s="30" t="s">
        <v>153</v>
      </c>
      <c r="E39" s="29" t="s">
        <v>76</v>
      </c>
      <c r="F39" s="29" t="s">
        <v>153</v>
      </c>
      <c r="G39" s="21" t="s">
        <v>1981</v>
      </c>
    </row>
    <row r="40" customFormat="false" ht="15" hidden="false" customHeight="false" outlineLevel="0" collapsed="false">
      <c r="A40" s="29" t="s">
        <v>1449</v>
      </c>
      <c r="B40" s="29" t="s">
        <v>1449</v>
      </c>
      <c r="C40" s="21" t="s">
        <v>776</v>
      </c>
      <c r="D40" s="30" t="s">
        <v>153</v>
      </c>
      <c r="E40" s="29" t="s">
        <v>76</v>
      </c>
      <c r="F40" s="29" t="s">
        <v>153</v>
      </c>
      <c r="G40" s="21" t="s">
        <v>1979</v>
      </c>
    </row>
    <row r="41" customFormat="false" ht="23.85" hidden="false" customHeight="false" outlineLevel="0" collapsed="false">
      <c r="A41" s="29" t="s">
        <v>997</v>
      </c>
      <c r="B41" s="29" t="s">
        <v>997</v>
      </c>
      <c r="C41" s="21" t="s">
        <v>1908</v>
      </c>
      <c r="D41" s="30" t="s">
        <v>153</v>
      </c>
      <c r="E41" s="29" t="s">
        <v>1982</v>
      </c>
      <c r="F41" s="29" t="s">
        <v>153</v>
      </c>
      <c r="G41" s="21" t="s">
        <v>1983</v>
      </c>
    </row>
  </sheetData>
  <autoFilter ref="A5:G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24"/>
    <col collapsed="false" customWidth="true" hidden="false" outlineLevel="0" max="4" min="4" style="0" width="36"/>
    <col collapsed="false" customWidth="true" hidden="false" outlineLevel="0" max="5" min="5" style="0" width="40"/>
    <col collapsed="false" customWidth="true" hidden="false" outlineLevel="0" max="6" min="6" style="0" width="44"/>
    <col collapsed="false" customWidth="true" hidden="false" outlineLevel="0" max="8" min="7" style="0" width="50"/>
    <col collapsed="false" customWidth="true" hidden="false" outlineLevel="0" max="9" min="9" style="0" width="48"/>
    <col collapsed="false" customWidth="true" hidden="false" outlineLevel="0" max="10" min="10" style="0" width="22"/>
  </cols>
  <sheetData>
    <row r="2" customFormat="false" ht="19.7" hidden="false" customHeight="false" outlineLevel="0" collapsed="false">
      <c r="A2" s="1" t="s">
        <v>1984</v>
      </c>
    </row>
    <row r="3" customFormat="false" ht="15" hidden="false" customHeight="false" outlineLevel="0" collapsed="false">
      <c r="A3" s="2" t="s">
        <v>1985</v>
      </c>
    </row>
    <row r="5" customFormat="false" ht="31.5" hidden="false" customHeight="true" outlineLevel="0" collapsed="false">
      <c r="A5" s="9" t="s">
        <v>1986</v>
      </c>
      <c r="B5" s="9" t="s">
        <v>1987</v>
      </c>
      <c r="C5" s="9" t="s">
        <v>1988</v>
      </c>
      <c r="D5" s="9" t="s">
        <v>1989</v>
      </c>
      <c r="E5" s="9" t="s">
        <v>1990</v>
      </c>
      <c r="F5" s="9" t="s">
        <v>1991</v>
      </c>
      <c r="G5" s="9" t="s">
        <v>1992</v>
      </c>
      <c r="H5" s="9" t="s">
        <v>1993</v>
      </c>
      <c r="I5" s="9" t="s">
        <v>1994</v>
      </c>
      <c r="J5" s="9" t="s">
        <v>1995</v>
      </c>
    </row>
    <row r="6" customFormat="false" ht="46.25" hidden="false" customHeight="false" outlineLevel="0" collapsed="false">
      <c r="A6" s="10" t="s">
        <v>1996</v>
      </c>
      <c r="B6" s="15" t="s">
        <v>1997</v>
      </c>
      <c r="C6" s="15" t="s">
        <v>1998</v>
      </c>
      <c r="D6" s="15" t="s">
        <v>1999</v>
      </c>
      <c r="E6" s="15" t="s">
        <v>2000</v>
      </c>
      <c r="F6" s="15" t="s">
        <v>2001</v>
      </c>
      <c r="G6" s="15" t="s">
        <v>2002</v>
      </c>
      <c r="H6" s="15" t="s">
        <v>2003</v>
      </c>
      <c r="I6" s="15" t="s">
        <v>2004</v>
      </c>
      <c r="J6" s="26" t="s">
        <v>2005</v>
      </c>
    </row>
    <row r="7" customFormat="false" ht="35.05" hidden="false" customHeight="false" outlineLevel="0" collapsed="false">
      <c r="A7" s="10" t="s">
        <v>2006</v>
      </c>
      <c r="B7" s="15" t="s">
        <v>2006</v>
      </c>
      <c r="C7" s="15" t="s">
        <v>2007</v>
      </c>
      <c r="D7" s="15" t="s">
        <v>2008</v>
      </c>
      <c r="E7" s="15" t="s">
        <v>2009</v>
      </c>
      <c r="F7" s="15" t="s">
        <v>2010</v>
      </c>
      <c r="G7" s="15" t="s">
        <v>2011</v>
      </c>
      <c r="H7" s="15" t="s">
        <v>2012</v>
      </c>
      <c r="I7" s="15" t="s">
        <v>2013</v>
      </c>
      <c r="J7" s="26" t="s">
        <v>2005</v>
      </c>
    </row>
    <row r="8" customFormat="false" ht="35.05" hidden="false" customHeight="false" outlineLevel="0" collapsed="false">
      <c r="A8" s="10" t="s">
        <v>2014</v>
      </c>
      <c r="B8" s="15" t="s">
        <v>2014</v>
      </c>
      <c r="C8" s="15" t="s">
        <v>2015</v>
      </c>
      <c r="D8" s="15" t="s">
        <v>2016</v>
      </c>
      <c r="E8" s="15" t="s">
        <v>2017</v>
      </c>
      <c r="F8" s="15" t="s">
        <v>2010</v>
      </c>
      <c r="G8" s="15" t="s">
        <v>2018</v>
      </c>
      <c r="H8" s="15" t="s">
        <v>2019</v>
      </c>
      <c r="I8" s="15" t="s">
        <v>2020</v>
      </c>
      <c r="J8" s="26" t="s">
        <v>2005</v>
      </c>
    </row>
    <row r="9" customFormat="false" ht="57.45" hidden="false" customHeight="false" outlineLevel="0" collapsed="false">
      <c r="A9" s="10" t="s">
        <v>2021</v>
      </c>
      <c r="B9" s="15" t="s">
        <v>2021</v>
      </c>
      <c r="C9" s="15" t="s">
        <v>2022</v>
      </c>
      <c r="D9" s="15" t="s">
        <v>2023</v>
      </c>
      <c r="E9" s="15" t="s">
        <v>2024</v>
      </c>
      <c r="F9" s="15" t="s">
        <v>2010</v>
      </c>
      <c r="G9" s="15" t="s">
        <v>2025</v>
      </c>
      <c r="H9" s="15" t="s">
        <v>2026</v>
      </c>
      <c r="I9" s="15" t="s">
        <v>2027</v>
      </c>
      <c r="J9" s="26" t="s">
        <v>2005</v>
      </c>
    </row>
    <row r="10" customFormat="false" ht="57.45" hidden="false" customHeight="false" outlineLevel="0" collapsed="false">
      <c r="A10" s="10" t="s">
        <v>2028</v>
      </c>
      <c r="B10" s="15" t="s">
        <v>2028</v>
      </c>
      <c r="C10" s="15" t="s">
        <v>2022</v>
      </c>
      <c r="D10" s="15" t="s">
        <v>2029</v>
      </c>
      <c r="E10" s="15" t="s">
        <v>2030</v>
      </c>
      <c r="F10" s="15" t="s">
        <v>2010</v>
      </c>
      <c r="G10" s="15" t="s">
        <v>2031</v>
      </c>
      <c r="H10" s="15" t="s">
        <v>153</v>
      </c>
      <c r="I10" s="15" t="s">
        <v>2032</v>
      </c>
      <c r="J10" s="26" t="s">
        <v>2005</v>
      </c>
    </row>
    <row r="11" customFormat="false" ht="35.05" hidden="false" customHeight="false" outlineLevel="0" collapsed="false">
      <c r="A11" s="10" t="s">
        <v>2033</v>
      </c>
      <c r="B11" s="15" t="s">
        <v>2034</v>
      </c>
      <c r="C11" s="15" t="s">
        <v>2035</v>
      </c>
      <c r="D11" s="15" t="s">
        <v>2036</v>
      </c>
      <c r="E11" s="15" t="s">
        <v>2037</v>
      </c>
      <c r="F11" s="15" t="s">
        <v>2010</v>
      </c>
      <c r="G11" s="15" t="s">
        <v>2038</v>
      </c>
      <c r="H11" s="15" t="s">
        <v>2039</v>
      </c>
      <c r="I11" s="15" t="s">
        <v>2040</v>
      </c>
      <c r="J11" s="18" t="s">
        <v>2041</v>
      </c>
    </row>
    <row r="12" customFormat="false" ht="35.05" hidden="false" customHeight="false" outlineLevel="0" collapsed="false">
      <c r="A12" s="10" t="s">
        <v>2042</v>
      </c>
      <c r="B12" s="15" t="s">
        <v>2043</v>
      </c>
      <c r="C12" s="15" t="s">
        <v>2035</v>
      </c>
      <c r="D12" s="15" t="s">
        <v>2044</v>
      </c>
      <c r="E12" s="15" t="s">
        <v>2045</v>
      </c>
      <c r="F12" s="15" t="s">
        <v>2010</v>
      </c>
      <c r="G12" s="15" t="s">
        <v>2038</v>
      </c>
      <c r="H12" s="15" t="s">
        <v>2046</v>
      </c>
      <c r="I12" s="15" t="s">
        <v>2047</v>
      </c>
      <c r="J12" s="18" t="s">
        <v>2048</v>
      </c>
    </row>
    <row r="13" customFormat="false" ht="35.05" hidden="false" customHeight="false" outlineLevel="0" collapsed="false">
      <c r="A13" s="10" t="s">
        <v>2049</v>
      </c>
      <c r="B13" s="15" t="s">
        <v>2050</v>
      </c>
      <c r="C13" s="15" t="s">
        <v>2035</v>
      </c>
      <c r="D13" s="15" t="s">
        <v>2051</v>
      </c>
      <c r="E13" s="15" t="s">
        <v>2052</v>
      </c>
      <c r="F13" s="15" t="s">
        <v>2010</v>
      </c>
      <c r="G13" s="15" t="s">
        <v>2053</v>
      </c>
      <c r="H13" s="15" t="s">
        <v>2054</v>
      </c>
      <c r="I13" s="15" t="s">
        <v>2055</v>
      </c>
      <c r="J13" s="18" t="s">
        <v>2056</v>
      </c>
    </row>
    <row r="14" customFormat="false" ht="23.85" hidden="false" customHeight="false" outlineLevel="0" collapsed="false">
      <c r="A14" s="10" t="s">
        <v>2057</v>
      </c>
      <c r="B14" s="15" t="s">
        <v>2058</v>
      </c>
      <c r="C14" s="15" t="s">
        <v>2059</v>
      </c>
      <c r="D14" s="15" t="s">
        <v>2060</v>
      </c>
      <c r="E14" s="15" t="s">
        <v>2061</v>
      </c>
      <c r="F14" s="15" t="s">
        <v>2010</v>
      </c>
      <c r="G14" s="15" t="s">
        <v>2062</v>
      </c>
      <c r="H14" s="15" t="s">
        <v>2063</v>
      </c>
      <c r="I14" s="15" t="s">
        <v>2064</v>
      </c>
      <c r="J14" s="18" t="s">
        <v>2065</v>
      </c>
    </row>
    <row r="15" customFormat="false" ht="46.25" hidden="false" customHeight="false" outlineLevel="0" collapsed="false">
      <c r="A15" s="10" t="s">
        <v>2066</v>
      </c>
      <c r="B15" s="15" t="s">
        <v>2067</v>
      </c>
      <c r="C15" s="15" t="s">
        <v>2068</v>
      </c>
      <c r="D15" s="15" t="s">
        <v>2069</v>
      </c>
      <c r="E15" s="15" t="s">
        <v>2070</v>
      </c>
      <c r="F15" s="15" t="s">
        <v>153</v>
      </c>
      <c r="G15" s="15" t="s">
        <v>181</v>
      </c>
      <c r="H15" s="15" t="s">
        <v>2071</v>
      </c>
      <c r="I15" s="15" t="s">
        <v>2072</v>
      </c>
      <c r="J15" s="26" t="s">
        <v>2073</v>
      </c>
    </row>
    <row r="16" customFormat="false" ht="15" hidden="false" customHeight="false" outlineLevel="0" collapsed="false">
      <c r="A16" s="10" t="s">
        <v>2074</v>
      </c>
      <c r="B16" s="15" t="s">
        <v>2075</v>
      </c>
      <c r="C16" s="15" t="s">
        <v>2035</v>
      </c>
      <c r="D16" s="15" t="s">
        <v>2010</v>
      </c>
      <c r="E16" s="15" t="s">
        <v>2010</v>
      </c>
      <c r="F16" s="15" t="s">
        <v>2010</v>
      </c>
      <c r="G16" s="15" t="s">
        <v>2076</v>
      </c>
      <c r="H16" s="15" t="s">
        <v>153</v>
      </c>
      <c r="I16" s="15" t="s">
        <v>153</v>
      </c>
      <c r="J16" s="30" t="s">
        <v>2010</v>
      </c>
    </row>
    <row r="17" customFormat="false" ht="15" hidden="false" customHeight="false" outlineLevel="0" collapsed="false">
      <c r="A17" s="10" t="s">
        <v>2077</v>
      </c>
      <c r="B17" s="15" t="s">
        <v>2078</v>
      </c>
      <c r="C17" s="15" t="s">
        <v>2035</v>
      </c>
      <c r="D17" s="15" t="s">
        <v>2010</v>
      </c>
      <c r="E17" s="15" t="s">
        <v>2010</v>
      </c>
      <c r="F17" s="15" t="s">
        <v>2010</v>
      </c>
      <c r="G17" s="15" t="s">
        <v>2076</v>
      </c>
      <c r="H17" s="15" t="s">
        <v>153</v>
      </c>
      <c r="I17" s="15" t="s">
        <v>153</v>
      </c>
      <c r="J17" s="30" t="s">
        <v>2010</v>
      </c>
    </row>
    <row r="18" customFormat="false" ht="23.85" hidden="false" customHeight="false" outlineLevel="0" collapsed="false">
      <c r="A18" s="10" t="s">
        <v>2079</v>
      </c>
      <c r="B18" s="15" t="s">
        <v>2080</v>
      </c>
      <c r="C18" s="15" t="s">
        <v>2035</v>
      </c>
      <c r="D18" s="15" t="s">
        <v>2010</v>
      </c>
      <c r="E18" s="15" t="s">
        <v>2010</v>
      </c>
      <c r="F18" s="15" t="s">
        <v>2010</v>
      </c>
      <c r="G18" s="15" t="s">
        <v>2076</v>
      </c>
      <c r="H18" s="15" t="s">
        <v>153</v>
      </c>
      <c r="I18" s="15" t="s">
        <v>153</v>
      </c>
      <c r="J18" s="30" t="s">
        <v>2010</v>
      </c>
    </row>
    <row r="19" customFormat="false" ht="23.85" hidden="false" customHeight="false" outlineLevel="0" collapsed="false">
      <c r="A19" s="10" t="s">
        <v>2081</v>
      </c>
      <c r="B19" s="15" t="s">
        <v>2082</v>
      </c>
      <c r="C19" s="15" t="s">
        <v>2083</v>
      </c>
      <c r="D19" s="15" t="s">
        <v>2010</v>
      </c>
      <c r="E19" s="15" t="s">
        <v>2010</v>
      </c>
      <c r="F19" s="15" t="s">
        <v>2010</v>
      </c>
      <c r="G19" s="15" t="s">
        <v>2084</v>
      </c>
      <c r="H19" s="15" t="s">
        <v>153</v>
      </c>
      <c r="I19" s="15" t="s">
        <v>153</v>
      </c>
      <c r="J19" s="30" t="s">
        <v>2010</v>
      </c>
    </row>
    <row r="20" customFormat="false" ht="35.05" hidden="false" customHeight="false" outlineLevel="0" collapsed="false">
      <c r="A20" s="10" t="s">
        <v>2085</v>
      </c>
      <c r="B20" s="15" t="s">
        <v>2086</v>
      </c>
      <c r="C20" s="15" t="s">
        <v>2087</v>
      </c>
      <c r="D20" s="15" t="s">
        <v>2010</v>
      </c>
      <c r="E20" s="15" t="s">
        <v>2010</v>
      </c>
      <c r="F20" s="15" t="s">
        <v>2010</v>
      </c>
      <c r="G20" s="15" t="s">
        <v>2088</v>
      </c>
      <c r="H20" s="15" t="s">
        <v>2089</v>
      </c>
      <c r="I20" s="15" t="s">
        <v>153</v>
      </c>
      <c r="J20" s="30" t="s">
        <v>2010</v>
      </c>
    </row>
    <row r="21" customFormat="false" ht="23.85" hidden="false" customHeight="false" outlineLevel="0" collapsed="false">
      <c r="A21" s="10" t="s">
        <v>2090</v>
      </c>
      <c r="B21" s="15" t="s">
        <v>2091</v>
      </c>
      <c r="C21" s="15" t="s">
        <v>2092</v>
      </c>
      <c r="D21" s="15" t="s">
        <v>2010</v>
      </c>
      <c r="E21" s="15" t="s">
        <v>2010</v>
      </c>
      <c r="F21" s="15" t="s">
        <v>2010</v>
      </c>
      <c r="G21" s="15" t="s">
        <v>304</v>
      </c>
      <c r="H21" s="15" t="s">
        <v>153</v>
      </c>
      <c r="I21" s="15" t="s">
        <v>153</v>
      </c>
      <c r="J21" s="30" t="s">
        <v>2010</v>
      </c>
    </row>
    <row r="22" customFormat="false" ht="35.05" hidden="false" customHeight="false" outlineLevel="0" collapsed="false">
      <c r="A22" s="10" t="s">
        <v>44</v>
      </c>
      <c r="B22" s="15" t="s">
        <v>2093</v>
      </c>
      <c r="C22" s="15" t="s">
        <v>2094</v>
      </c>
      <c r="D22" s="15" t="s">
        <v>2010</v>
      </c>
      <c r="E22" s="15" t="s">
        <v>2010</v>
      </c>
      <c r="F22" s="15" t="s">
        <v>2010</v>
      </c>
      <c r="G22" s="15" t="s">
        <v>2095</v>
      </c>
      <c r="H22" s="15" t="s">
        <v>153</v>
      </c>
      <c r="I22" s="15" t="s">
        <v>153</v>
      </c>
      <c r="J22" s="30" t="s">
        <v>2010</v>
      </c>
    </row>
  </sheetData>
  <autoFilter ref="A5:J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N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42"/>
    <col collapsed="false" customWidth="true" hidden="false" outlineLevel="0" max="4" min="4" style="0" width="46"/>
    <col collapsed="false" customWidth="true" hidden="false" outlineLevel="0" max="5" min="5" style="0" width="42"/>
    <col collapsed="false" customWidth="true" hidden="false" outlineLevel="0" max="7" min="6" style="0" width="38"/>
    <col collapsed="false" customWidth="true" hidden="false" outlineLevel="0" max="8" min="8" style="0" width="48"/>
    <col collapsed="false" customWidth="true" hidden="false" outlineLevel="0" max="9" min="9" style="0" width="54"/>
    <col collapsed="false" customWidth="true" hidden="false" outlineLevel="0" max="10" min="10" style="0" width="18"/>
    <col collapsed="false" customWidth="true" hidden="false" outlineLevel="0" max="11" min="11" style="0" width="34"/>
    <col collapsed="false" customWidth="true" hidden="false" outlineLevel="0" max="13" min="12" style="0" width="30"/>
    <col collapsed="false" customWidth="true" hidden="false" outlineLevel="0" max="14" min="14" style="0" width="40"/>
  </cols>
  <sheetData>
    <row r="2" customFormat="false" ht="19.7" hidden="false" customHeight="false" outlineLevel="0" collapsed="false">
      <c r="A2" s="1" t="s">
        <v>2096</v>
      </c>
    </row>
    <row r="3" customFormat="false" ht="15" hidden="false" customHeight="false" outlineLevel="0" collapsed="false">
      <c r="A3" s="2" t="s">
        <v>2097</v>
      </c>
    </row>
    <row r="5" customFormat="false" ht="31.5" hidden="false" customHeight="true" outlineLevel="0" collapsed="false">
      <c r="A5" s="9" t="s">
        <v>79</v>
      </c>
      <c r="B5" s="9" t="s">
        <v>2098</v>
      </c>
      <c r="C5" s="9" t="s">
        <v>2099</v>
      </c>
      <c r="D5" s="9" t="s">
        <v>2100</v>
      </c>
      <c r="E5" s="9" t="s">
        <v>2101</v>
      </c>
      <c r="F5" s="9" t="s">
        <v>2102</v>
      </c>
      <c r="G5" s="9" t="s">
        <v>2103</v>
      </c>
      <c r="H5" s="9" t="s">
        <v>2104</v>
      </c>
      <c r="I5" s="9" t="s">
        <v>1994</v>
      </c>
      <c r="J5" s="9" t="s">
        <v>2105</v>
      </c>
      <c r="K5" s="9" t="s">
        <v>2106</v>
      </c>
      <c r="L5" s="9" t="s">
        <v>2107</v>
      </c>
      <c r="M5" s="9" t="s">
        <v>2108</v>
      </c>
      <c r="N5" s="9" t="s">
        <v>2109</v>
      </c>
    </row>
    <row r="6" customFormat="false" ht="35.05" hidden="false" customHeight="false" outlineLevel="0" collapsed="false">
      <c r="A6" s="15" t="s">
        <v>2110</v>
      </c>
      <c r="B6" s="18" t="s">
        <v>2111</v>
      </c>
      <c r="C6" s="15" t="s">
        <v>2112</v>
      </c>
      <c r="D6" s="15" t="s">
        <v>2113</v>
      </c>
      <c r="E6" s="15" t="s">
        <v>915</v>
      </c>
      <c r="F6" s="15" t="s">
        <v>2114</v>
      </c>
      <c r="G6" s="15" t="s">
        <v>2115</v>
      </c>
      <c r="H6" s="15" t="s">
        <v>2116</v>
      </c>
      <c r="I6" s="15" t="s">
        <v>2117</v>
      </c>
      <c r="J6" s="28" t="s">
        <v>153</v>
      </c>
      <c r="K6" s="28" t="s">
        <v>2118</v>
      </c>
      <c r="L6" s="28" t="s">
        <v>153</v>
      </c>
      <c r="M6" s="28" t="s">
        <v>1591</v>
      </c>
      <c r="N6" s="28" t="s">
        <v>2119</v>
      </c>
    </row>
    <row r="7" customFormat="false" ht="46.25" hidden="false" customHeight="false" outlineLevel="0" collapsed="false">
      <c r="A7" s="15" t="s">
        <v>2120</v>
      </c>
      <c r="B7" s="18" t="s">
        <v>2121</v>
      </c>
      <c r="C7" s="15" t="s">
        <v>2122</v>
      </c>
      <c r="D7" s="15" t="s">
        <v>2123</v>
      </c>
      <c r="E7" s="15" t="s">
        <v>2124</v>
      </c>
      <c r="F7" s="15" t="s">
        <v>2125</v>
      </c>
      <c r="G7" s="15" t="s">
        <v>2126</v>
      </c>
      <c r="H7" s="15" t="s">
        <v>2127</v>
      </c>
      <c r="I7" s="15" t="s">
        <v>2128</v>
      </c>
      <c r="J7" s="28" t="s">
        <v>2129</v>
      </c>
      <c r="K7" s="28" t="s">
        <v>2130</v>
      </c>
      <c r="L7" s="28" t="s">
        <v>153</v>
      </c>
      <c r="M7" s="28" t="s">
        <v>2131</v>
      </c>
      <c r="N7" s="28" t="s">
        <v>2132</v>
      </c>
    </row>
    <row r="8" customFormat="false" ht="35.05" hidden="false" customHeight="false" outlineLevel="0" collapsed="false">
      <c r="A8" s="15" t="s">
        <v>2133</v>
      </c>
      <c r="B8" s="18" t="s">
        <v>2134</v>
      </c>
      <c r="C8" s="15" t="s">
        <v>2135</v>
      </c>
      <c r="D8" s="15" t="s">
        <v>2136</v>
      </c>
      <c r="E8" s="15" t="s">
        <v>2137</v>
      </c>
      <c r="F8" s="15" t="s">
        <v>2138</v>
      </c>
      <c r="G8" s="15" t="s">
        <v>112</v>
      </c>
      <c r="H8" s="15" t="s">
        <v>2139</v>
      </c>
      <c r="I8" s="15" t="s">
        <v>2128</v>
      </c>
      <c r="J8" s="28" t="s">
        <v>153</v>
      </c>
      <c r="K8" s="28" t="s">
        <v>2140</v>
      </c>
      <c r="L8" s="28" t="s">
        <v>153</v>
      </c>
      <c r="M8" s="28" t="s">
        <v>2141</v>
      </c>
      <c r="N8" s="28" t="s">
        <v>153</v>
      </c>
    </row>
    <row r="9" customFormat="false" ht="35.05" hidden="false" customHeight="false" outlineLevel="0" collapsed="false">
      <c r="A9" s="15" t="s">
        <v>2142</v>
      </c>
      <c r="B9" s="18" t="s">
        <v>2143</v>
      </c>
      <c r="C9" s="15" t="s">
        <v>2144</v>
      </c>
      <c r="D9" s="15" t="s">
        <v>2145</v>
      </c>
      <c r="E9" s="15" t="s">
        <v>2146</v>
      </c>
      <c r="F9" s="15" t="s">
        <v>2147</v>
      </c>
      <c r="G9" s="15" t="s">
        <v>112</v>
      </c>
      <c r="H9" s="15" t="s">
        <v>2148</v>
      </c>
      <c r="I9" s="15" t="s">
        <v>2149</v>
      </c>
      <c r="J9" s="28" t="s">
        <v>153</v>
      </c>
      <c r="K9" s="28" t="s">
        <v>153</v>
      </c>
      <c r="L9" s="28" t="s">
        <v>153</v>
      </c>
      <c r="M9" s="28" t="s">
        <v>153</v>
      </c>
      <c r="N9" s="28" t="s">
        <v>2150</v>
      </c>
    </row>
    <row r="10" customFormat="false" ht="23.85" hidden="false" customHeight="false" outlineLevel="0" collapsed="false">
      <c r="A10" s="15" t="s">
        <v>2151</v>
      </c>
      <c r="B10" s="18" t="s">
        <v>2152</v>
      </c>
      <c r="C10" s="15" t="s">
        <v>2153</v>
      </c>
      <c r="D10" s="15" t="s">
        <v>2154</v>
      </c>
      <c r="E10" s="15" t="s">
        <v>2155</v>
      </c>
      <c r="F10" s="15" t="s">
        <v>2156</v>
      </c>
      <c r="G10" s="15" t="s">
        <v>2157</v>
      </c>
      <c r="H10" s="15" t="s">
        <v>2158</v>
      </c>
      <c r="I10" s="15" t="s">
        <v>2149</v>
      </c>
      <c r="J10" s="28" t="s">
        <v>153</v>
      </c>
      <c r="K10" s="28" t="s">
        <v>153</v>
      </c>
      <c r="L10" s="28" t="s">
        <v>153</v>
      </c>
      <c r="M10" s="28" t="s">
        <v>153</v>
      </c>
      <c r="N10" s="28" t="s">
        <v>2159</v>
      </c>
    </row>
    <row r="11" customFormat="false" ht="46.25" hidden="false" customHeight="false" outlineLevel="0" collapsed="false">
      <c r="A11" s="15" t="s">
        <v>2160</v>
      </c>
      <c r="B11" s="18" t="s">
        <v>2161</v>
      </c>
      <c r="C11" s="15" t="s">
        <v>2162</v>
      </c>
      <c r="D11" s="15" t="s">
        <v>2163</v>
      </c>
      <c r="E11" s="15" t="s">
        <v>2164</v>
      </c>
      <c r="F11" s="15" t="s">
        <v>2165</v>
      </c>
      <c r="G11" s="15" t="s">
        <v>2166</v>
      </c>
      <c r="H11" s="15" t="s">
        <v>2167</v>
      </c>
      <c r="I11" s="15" t="s">
        <v>2168</v>
      </c>
      <c r="J11" s="28" t="s">
        <v>2169</v>
      </c>
      <c r="K11" s="28" t="s">
        <v>153</v>
      </c>
      <c r="L11" s="28" t="s">
        <v>153</v>
      </c>
      <c r="M11" s="28" t="s">
        <v>153</v>
      </c>
      <c r="N11" s="28" t="s">
        <v>2170</v>
      </c>
    </row>
    <row r="12" customFormat="false" ht="35.05" hidden="false" customHeight="false" outlineLevel="0" collapsed="false">
      <c r="A12" s="15" t="s">
        <v>2171</v>
      </c>
      <c r="B12" s="18" t="s">
        <v>2172</v>
      </c>
      <c r="C12" s="15" t="s">
        <v>2173</v>
      </c>
      <c r="D12" s="15" t="s">
        <v>2174</v>
      </c>
      <c r="E12" s="15" t="s">
        <v>2175</v>
      </c>
      <c r="F12" s="15" t="s">
        <v>2176</v>
      </c>
      <c r="G12" s="15" t="s">
        <v>642</v>
      </c>
      <c r="H12" s="15" t="s">
        <v>2177</v>
      </c>
      <c r="I12" s="15" t="s">
        <v>2178</v>
      </c>
      <c r="J12" s="28" t="s">
        <v>153</v>
      </c>
      <c r="K12" s="28" t="s">
        <v>2179</v>
      </c>
      <c r="L12" s="28" t="s">
        <v>153</v>
      </c>
      <c r="M12" s="28" t="s">
        <v>2180</v>
      </c>
      <c r="N12" s="28" t="s">
        <v>153</v>
      </c>
    </row>
    <row r="13" customFormat="false" ht="35.05" hidden="false" customHeight="false" outlineLevel="0" collapsed="false">
      <c r="A13" s="15" t="s">
        <v>2181</v>
      </c>
      <c r="B13" s="18" t="s">
        <v>2182</v>
      </c>
      <c r="C13" s="15" t="s">
        <v>2183</v>
      </c>
      <c r="D13" s="15" t="s">
        <v>2184</v>
      </c>
      <c r="E13" s="15" t="s">
        <v>2185</v>
      </c>
      <c r="F13" s="15" t="s">
        <v>2186</v>
      </c>
      <c r="G13" s="15" t="s">
        <v>2187</v>
      </c>
      <c r="H13" s="15" t="s">
        <v>2188</v>
      </c>
      <c r="I13" s="15" t="s">
        <v>2189</v>
      </c>
      <c r="J13" s="28" t="s">
        <v>2190</v>
      </c>
      <c r="K13" s="28" t="s">
        <v>153</v>
      </c>
      <c r="L13" s="28" t="s">
        <v>2191</v>
      </c>
      <c r="M13" s="28" t="s">
        <v>2192</v>
      </c>
      <c r="N13" s="28" t="s">
        <v>153</v>
      </c>
    </row>
    <row r="14" customFormat="false" ht="46.25" hidden="false" customHeight="false" outlineLevel="0" collapsed="false">
      <c r="A14" s="15" t="s">
        <v>2193</v>
      </c>
      <c r="B14" s="18" t="s">
        <v>2194</v>
      </c>
      <c r="C14" s="15" t="s">
        <v>2195</v>
      </c>
      <c r="D14" s="15" t="s">
        <v>2196</v>
      </c>
      <c r="E14" s="15" t="s">
        <v>2197</v>
      </c>
      <c r="F14" s="15" t="s">
        <v>2186</v>
      </c>
      <c r="G14" s="15" t="s">
        <v>2198</v>
      </c>
      <c r="H14" s="15" t="s">
        <v>2199</v>
      </c>
      <c r="I14" s="15" t="s">
        <v>2200</v>
      </c>
      <c r="J14" s="28" t="s">
        <v>153</v>
      </c>
      <c r="K14" s="28" t="s">
        <v>153</v>
      </c>
      <c r="L14" s="28" t="s">
        <v>153</v>
      </c>
      <c r="M14" s="28" t="s">
        <v>153</v>
      </c>
      <c r="N14" s="28" t="s">
        <v>2201</v>
      </c>
    </row>
    <row r="15" customFormat="false" ht="35.05" hidden="false" customHeight="false" outlineLevel="0" collapsed="false">
      <c r="A15" s="15" t="s">
        <v>2202</v>
      </c>
      <c r="B15" s="18" t="s">
        <v>2203</v>
      </c>
      <c r="C15" s="15" t="s">
        <v>2204</v>
      </c>
      <c r="D15" s="15" t="s">
        <v>2205</v>
      </c>
      <c r="E15" s="15" t="s">
        <v>2206</v>
      </c>
      <c r="F15" s="15" t="s">
        <v>2186</v>
      </c>
      <c r="G15" s="15" t="s">
        <v>2207</v>
      </c>
      <c r="H15" s="15" t="s">
        <v>2208</v>
      </c>
      <c r="I15" s="15" t="s">
        <v>2209</v>
      </c>
      <c r="J15" s="28" t="s">
        <v>2210</v>
      </c>
      <c r="K15" s="28" t="s">
        <v>153</v>
      </c>
      <c r="L15" s="28" t="s">
        <v>153</v>
      </c>
      <c r="M15" s="28" t="s">
        <v>153</v>
      </c>
      <c r="N15" s="28" t="s">
        <v>2211</v>
      </c>
    </row>
    <row r="16" customFormat="false" ht="23.85" hidden="false" customHeight="false" outlineLevel="0" collapsed="false">
      <c r="A16" s="15" t="s">
        <v>2212</v>
      </c>
      <c r="B16" s="18" t="s">
        <v>1668</v>
      </c>
      <c r="C16" s="15" t="s">
        <v>2213</v>
      </c>
      <c r="D16" s="15" t="s">
        <v>2214</v>
      </c>
      <c r="E16" s="15" t="s">
        <v>2215</v>
      </c>
      <c r="F16" s="15" t="s">
        <v>2216</v>
      </c>
      <c r="G16" s="15" t="s">
        <v>2217</v>
      </c>
      <c r="H16" s="15" t="s">
        <v>2218</v>
      </c>
      <c r="I16" s="15" t="s">
        <v>2219</v>
      </c>
      <c r="J16" s="28" t="s">
        <v>153</v>
      </c>
      <c r="K16" s="28" t="s">
        <v>153</v>
      </c>
      <c r="L16" s="28" t="s">
        <v>2220</v>
      </c>
      <c r="M16" s="28" t="s">
        <v>153</v>
      </c>
      <c r="N16" s="28" t="s">
        <v>2221</v>
      </c>
    </row>
    <row r="17" customFormat="false" ht="23.85" hidden="false" customHeight="false" outlineLevel="0" collapsed="false">
      <c r="A17" s="15" t="s">
        <v>2222</v>
      </c>
      <c r="B17" s="18" t="s">
        <v>2223</v>
      </c>
      <c r="C17" s="15" t="s">
        <v>2224</v>
      </c>
      <c r="D17" s="15" t="s">
        <v>2225</v>
      </c>
      <c r="E17" s="15" t="s">
        <v>2215</v>
      </c>
      <c r="F17" s="15" t="s">
        <v>2216</v>
      </c>
      <c r="G17" s="15" t="s">
        <v>2217</v>
      </c>
      <c r="H17" s="15" t="s">
        <v>2226</v>
      </c>
      <c r="I17" s="15" t="s">
        <v>2219</v>
      </c>
      <c r="J17" s="28" t="s">
        <v>153</v>
      </c>
      <c r="K17" s="28" t="s">
        <v>153</v>
      </c>
      <c r="L17" s="28" t="s">
        <v>2220</v>
      </c>
      <c r="M17" s="28" t="s">
        <v>153</v>
      </c>
      <c r="N17" s="28" t="s">
        <v>2221</v>
      </c>
    </row>
    <row r="18" customFormat="false" ht="35.05" hidden="false" customHeight="false" outlineLevel="0" collapsed="false">
      <c r="A18" s="15" t="s">
        <v>2227</v>
      </c>
      <c r="B18" s="18" t="s">
        <v>2228</v>
      </c>
      <c r="C18" s="15" t="s">
        <v>2229</v>
      </c>
      <c r="D18" s="15" t="s">
        <v>2230</v>
      </c>
      <c r="E18" s="15" t="s">
        <v>2231</v>
      </c>
      <c r="F18" s="15" t="s">
        <v>2156</v>
      </c>
      <c r="G18" s="15" t="s">
        <v>2232</v>
      </c>
      <c r="H18" s="15" t="s">
        <v>2233</v>
      </c>
      <c r="I18" s="15" t="s">
        <v>2234</v>
      </c>
      <c r="J18" s="28" t="s">
        <v>153</v>
      </c>
      <c r="K18" s="28" t="s">
        <v>153</v>
      </c>
      <c r="L18" s="28" t="s">
        <v>2235</v>
      </c>
      <c r="M18" s="28" t="s">
        <v>2236</v>
      </c>
      <c r="N18" s="28" t="s">
        <v>2237</v>
      </c>
    </row>
    <row r="19" customFormat="false" ht="23.85" hidden="false" customHeight="false" outlineLevel="0" collapsed="false">
      <c r="A19" s="15" t="s">
        <v>2238</v>
      </c>
      <c r="B19" s="18" t="s">
        <v>2239</v>
      </c>
      <c r="C19" s="15" t="s">
        <v>2240</v>
      </c>
      <c r="D19" s="15" t="s">
        <v>2241</v>
      </c>
      <c r="E19" s="15" t="s">
        <v>2242</v>
      </c>
      <c r="F19" s="15" t="s">
        <v>2138</v>
      </c>
      <c r="G19" s="15" t="s">
        <v>2243</v>
      </c>
      <c r="H19" s="15" t="s">
        <v>2244</v>
      </c>
      <c r="I19" s="15" t="s">
        <v>2245</v>
      </c>
      <c r="J19" s="28" t="s">
        <v>153</v>
      </c>
      <c r="K19" s="28" t="s">
        <v>2246</v>
      </c>
      <c r="L19" s="28" t="s">
        <v>153</v>
      </c>
      <c r="M19" s="28" t="s">
        <v>2247</v>
      </c>
      <c r="N19" s="28" t="s">
        <v>153</v>
      </c>
    </row>
    <row r="20" customFormat="false" ht="23.85" hidden="false" customHeight="false" outlineLevel="0" collapsed="false">
      <c r="A20" s="15" t="s">
        <v>2248</v>
      </c>
      <c r="B20" s="18" t="s">
        <v>2249</v>
      </c>
      <c r="C20" s="15" t="s">
        <v>2250</v>
      </c>
      <c r="D20" s="15" t="s">
        <v>2251</v>
      </c>
      <c r="E20" s="15" t="s">
        <v>2252</v>
      </c>
      <c r="F20" s="15" t="s">
        <v>2156</v>
      </c>
      <c r="G20" s="15" t="s">
        <v>2253</v>
      </c>
      <c r="H20" s="15" t="s">
        <v>2254</v>
      </c>
      <c r="I20" s="15" t="s">
        <v>2255</v>
      </c>
      <c r="J20" s="28" t="s">
        <v>153</v>
      </c>
      <c r="K20" s="28" t="s">
        <v>153</v>
      </c>
      <c r="L20" s="28" t="s">
        <v>2256</v>
      </c>
      <c r="M20" s="28" t="s">
        <v>2257</v>
      </c>
      <c r="N20" s="28" t="s">
        <v>2258</v>
      </c>
    </row>
    <row r="21" customFormat="false" ht="23.85" hidden="false" customHeight="false" outlineLevel="0" collapsed="false">
      <c r="A21" s="15" t="s">
        <v>2259</v>
      </c>
      <c r="B21" s="18" t="s">
        <v>2260</v>
      </c>
      <c r="C21" s="15" t="s">
        <v>2261</v>
      </c>
      <c r="D21" s="15" t="s">
        <v>2262</v>
      </c>
      <c r="E21" s="15" t="s">
        <v>2263</v>
      </c>
      <c r="F21" s="15" t="s">
        <v>2186</v>
      </c>
      <c r="G21" s="15" t="s">
        <v>847</v>
      </c>
      <c r="H21" s="15" t="s">
        <v>2264</v>
      </c>
      <c r="I21" s="15" t="s">
        <v>2265</v>
      </c>
      <c r="J21" s="28" t="s">
        <v>153</v>
      </c>
      <c r="K21" s="28" t="s">
        <v>153</v>
      </c>
      <c r="L21" s="28" t="s">
        <v>153</v>
      </c>
      <c r="M21" s="28" t="s">
        <v>153</v>
      </c>
      <c r="N21" s="28" t="s">
        <v>2266</v>
      </c>
    </row>
    <row r="22" customFormat="false" ht="35.05" hidden="false" customHeight="false" outlineLevel="0" collapsed="false">
      <c r="A22" s="15" t="s">
        <v>2267</v>
      </c>
      <c r="B22" s="18" t="s">
        <v>2268</v>
      </c>
      <c r="C22" s="15" t="s">
        <v>2269</v>
      </c>
      <c r="D22" s="15" t="s">
        <v>2270</v>
      </c>
      <c r="E22" s="15" t="s">
        <v>2271</v>
      </c>
      <c r="F22" s="15" t="s">
        <v>2186</v>
      </c>
      <c r="G22" s="15" t="s">
        <v>2272</v>
      </c>
      <c r="H22" s="15" t="s">
        <v>2273</v>
      </c>
      <c r="I22" s="15" t="s">
        <v>2274</v>
      </c>
      <c r="J22" s="28" t="s">
        <v>153</v>
      </c>
      <c r="K22" s="28" t="s">
        <v>153</v>
      </c>
      <c r="L22" s="28" t="s">
        <v>153</v>
      </c>
      <c r="M22" s="28" t="s">
        <v>2275</v>
      </c>
      <c r="N22" s="28" t="s">
        <v>2276</v>
      </c>
    </row>
    <row r="23" customFormat="false" ht="23.85" hidden="false" customHeight="false" outlineLevel="0" collapsed="false">
      <c r="A23" s="15" t="s">
        <v>2277</v>
      </c>
      <c r="B23" s="18" t="s">
        <v>2278</v>
      </c>
      <c r="C23" s="15" t="s">
        <v>2279</v>
      </c>
      <c r="D23" s="15" t="s">
        <v>2280</v>
      </c>
      <c r="E23" s="15" t="s">
        <v>2281</v>
      </c>
      <c r="F23" s="15" t="s">
        <v>2282</v>
      </c>
      <c r="G23" s="15" t="s">
        <v>227</v>
      </c>
      <c r="H23" s="15" t="s">
        <v>2283</v>
      </c>
      <c r="I23" s="15" t="s">
        <v>2274</v>
      </c>
      <c r="J23" s="28" t="s">
        <v>153</v>
      </c>
      <c r="K23" s="28" t="s">
        <v>153</v>
      </c>
      <c r="L23" s="28" t="s">
        <v>2284</v>
      </c>
      <c r="M23" s="28" t="s">
        <v>2285</v>
      </c>
      <c r="N23" s="28" t="s">
        <v>153</v>
      </c>
    </row>
    <row r="24" customFormat="false" ht="23.85" hidden="false" customHeight="false" outlineLevel="0" collapsed="false">
      <c r="A24" s="15" t="s">
        <v>2286</v>
      </c>
      <c r="B24" s="18" t="s">
        <v>2287</v>
      </c>
      <c r="C24" s="15" t="s">
        <v>2288</v>
      </c>
      <c r="D24" s="15" t="s">
        <v>2289</v>
      </c>
      <c r="E24" s="15" t="s">
        <v>2290</v>
      </c>
      <c r="F24" s="15" t="s">
        <v>2186</v>
      </c>
      <c r="G24" s="15" t="s">
        <v>2291</v>
      </c>
      <c r="H24" s="15" t="s">
        <v>2292</v>
      </c>
      <c r="I24" s="15" t="s">
        <v>2293</v>
      </c>
      <c r="J24" s="28" t="s">
        <v>153</v>
      </c>
      <c r="K24" s="28" t="s">
        <v>153</v>
      </c>
      <c r="L24" s="28" t="s">
        <v>153</v>
      </c>
      <c r="M24" s="28" t="s">
        <v>2294</v>
      </c>
      <c r="N24" s="28" t="s">
        <v>2295</v>
      </c>
    </row>
    <row r="25" customFormat="false" ht="35.05" hidden="false" customHeight="false" outlineLevel="0" collapsed="false">
      <c r="A25" s="15" t="s">
        <v>2296</v>
      </c>
      <c r="B25" s="18" t="s">
        <v>2297</v>
      </c>
      <c r="C25" s="15" t="s">
        <v>2298</v>
      </c>
      <c r="D25" s="15" t="s">
        <v>872</v>
      </c>
      <c r="E25" s="15" t="s">
        <v>2299</v>
      </c>
      <c r="F25" s="15" t="s">
        <v>2300</v>
      </c>
      <c r="G25" s="15" t="s">
        <v>875</v>
      </c>
      <c r="H25" s="15" t="s">
        <v>2301</v>
      </c>
      <c r="I25" s="15" t="s">
        <v>2302</v>
      </c>
      <c r="J25" s="28" t="s">
        <v>2303</v>
      </c>
      <c r="K25" s="28" t="s">
        <v>153</v>
      </c>
      <c r="L25" s="28" t="s">
        <v>153</v>
      </c>
      <c r="M25" s="28" t="s">
        <v>153</v>
      </c>
      <c r="N25" s="28" t="s">
        <v>2304</v>
      </c>
    </row>
    <row r="26" customFormat="false" ht="57.45" hidden="false" customHeight="false" outlineLevel="0" collapsed="false">
      <c r="A26" s="15" t="s">
        <v>2305</v>
      </c>
      <c r="B26" s="18" t="s">
        <v>2306</v>
      </c>
      <c r="C26" s="15" t="s">
        <v>2307</v>
      </c>
      <c r="D26" s="15" t="s">
        <v>2308</v>
      </c>
      <c r="E26" s="15" t="s">
        <v>2309</v>
      </c>
      <c r="F26" s="15" t="s">
        <v>2300</v>
      </c>
      <c r="G26" s="15" t="s">
        <v>875</v>
      </c>
      <c r="H26" s="15" t="s">
        <v>887</v>
      </c>
      <c r="I26" s="15" t="s">
        <v>2310</v>
      </c>
      <c r="J26" s="28" t="s">
        <v>2303</v>
      </c>
      <c r="K26" s="28" t="s">
        <v>153</v>
      </c>
      <c r="L26" s="28" t="s">
        <v>153</v>
      </c>
      <c r="M26" s="28" t="s">
        <v>153</v>
      </c>
      <c r="N26" s="28" t="s">
        <v>153</v>
      </c>
    </row>
  </sheetData>
  <autoFilter ref="A5:N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6"/>
    <col collapsed="false" customWidth="true" hidden="false" outlineLevel="0" max="3" min="3" style="0" width="40"/>
    <col collapsed="false" customWidth="true" hidden="false" outlineLevel="0" max="4" min="4" style="0" width="72"/>
  </cols>
  <sheetData>
    <row r="2" customFormat="false" ht="19.7" hidden="false" customHeight="false" outlineLevel="0" collapsed="false">
      <c r="A2" s="1" t="s">
        <v>2311</v>
      </c>
    </row>
    <row r="3" customFormat="false" ht="15" hidden="false" customHeight="false" outlineLevel="0" collapsed="false">
      <c r="A3" s="2" t="s">
        <v>2312</v>
      </c>
    </row>
    <row r="5" customFormat="false" ht="31.5" hidden="false" customHeight="true" outlineLevel="0" collapsed="false">
      <c r="A5" s="9" t="s">
        <v>2313</v>
      </c>
      <c r="B5" s="9" t="s">
        <v>1897</v>
      </c>
      <c r="C5" s="9" t="s">
        <v>2314</v>
      </c>
      <c r="D5" s="9" t="s">
        <v>2315</v>
      </c>
    </row>
    <row r="6" customFormat="false" ht="15" hidden="false" customHeight="false" outlineLevel="0" collapsed="false">
      <c r="A6" s="21" t="s">
        <v>35</v>
      </c>
      <c r="B6" s="30" t="s">
        <v>2316</v>
      </c>
      <c r="C6" s="21" t="s">
        <v>41</v>
      </c>
      <c r="D6" s="21"/>
    </row>
    <row r="7" customFormat="false" ht="15" hidden="false" customHeight="false" outlineLevel="0" collapsed="false">
      <c r="A7" s="21" t="s">
        <v>35</v>
      </c>
      <c r="B7" s="30" t="s">
        <v>2317</v>
      </c>
      <c r="C7" s="21" t="s">
        <v>42</v>
      </c>
      <c r="D7" s="21"/>
    </row>
    <row r="8" customFormat="false" ht="15" hidden="false" customHeight="false" outlineLevel="0" collapsed="false">
      <c r="A8" s="21" t="s">
        <v>35</v>
      </c>
      <c r="B8" s="30" t="s">
        <v>2318</v>
      </c>
      <c r="C8" s="21" t="s">
        <v>43</v>
      </c>
      <c r="D8" s="21"/>
    </row>
    <row r="9" customFormat="false" ht="15" hidden="false" customHeight="false" outlineLevel="0" collapsed="false">
      <c r="A9" s="21" t="s">
        <v>35</v>
      </c>
      <c r="B9" s="30" t="s">
        <v>2319</v>
      </c>
      <c r="C9" s="21" t="s">
        <v>44</v>
      </c>
      <c r="D9" s="21"/>
    </row>
    <row r="10" customFormat="false" ht="15" hidden="false" customHeight="false" outlineLevel="0" collapsed="false">
      <c r="A10" s="21" t="s">
        <v>35</v>
      </c>
      <c r="B10" s="30" t="s">
        <v>2320</v>
      </c>
      <c r="C10" s="21" t="s">
        <v>45</v>
      </c>
      <c r="D10" s="21" t="s">
        <v>2321</v>
      </c>
    </row>
    <row r="11" customFormat="false" ht="15" hidden="false" customHeight="false" outlineLevel="0" collapsed="false">
      <c r="A11" s="21" t="s">
        <v>35</v>
      </c>
      <c r="B11" s="30" t="s">
        <v>2322</v>
      </c>
      <c r="C11" s="21" t="s">
        <v>46</v>
      </c>
      <c r="D11" s="21"/>
    </row>
    <row r="12" customFormat="false" ht="15" hidden="false" customHeight="false" outlineLevel="0" collapsed="false">
      <c r="A12" s="21" t="s">
        <v>35</v>
      </c>
      <c r="B12" s="30" t="s">
        <v>2323</v>
      </c>
      <c r="C12" s="21" t="s">
        <v>47</v>
      </c>
      <c r="D12" s="21"/>
    </row>
    <row r="13" customFormat="false" ht="15" hidden="false" customHeight="false" outlineLevel="0" collapsed="false">
      <c r="A13" s="21" t="s">
        <v>35</v>
      </c>
      <c r="B13" s="30" t="s">
        <v>2324</v>
      </c>
      <c r="C13" s="21" t="s">
        <v>48</v>
      </c>
      <c r="D13" s="21"/>
    </row>
    <row r="14" customFormat="false" ht="15" hidden="false" customHeight="false" outlineLevel="0" collapsed="false">
      <c r="A14" s="21" t="s">
        <v>35</v>
      </c>
      <c r="B14" s="30" t="s">
        <v>2325</v>
      </c>
      <c r="C14" s="21" t="s">
        <v>49</v>
      </c>
      <c r="D14" s="21" t="s">
        <v>2326</v>
      </c>
    </row>
    <row r="15" customFormat="false" ht="15" hidden="false" customHeight="false" outlineLevel="0" collapsed="false">
      <c r="A15" s="21" t="s">
        <v>35</v>
      </c>
      <c r="B15" s="30" t="s">
        <v>2327</v>
      </c>
      <c r="C15" s="21" t="s">
        <v>50</v>
      </c>
      <c r="D15" s="21" t="s">
        <v>2321</v>
      </c>
    </row>
    <row r="16" customFormat="false" ht="15" hidden="false" customHeight="false" outlineLevel="0" collapsed="false">
      <c r="A16" s="15" t="s">
        <v>2328</v>
      </c>
      <c r="B16" s="10" t="s">
        <v>2329</v>
      </c>
      <c r="C16" s="15" t="s">
        <v>2330</v>
      </c>
      <c r="D16" s="15" t="s">
        <v>2331</v>
      </c>
    </row>
    <row r="17" customFormat="false" ht="15" hidden="false" customHeight="false" outlineLevel="0" collapsed="false">
      <c r="A17" s="15" t="s">
        <v>2328</v>
      </c>
      <c r="B17" s="10" t="s">
        <v>2332</v>
      </c>
      <c r="C17" s="15" t="s">
        <v>2333</v>
      </c>
      <c r="D17" s="15" t="s">
        <v>2334</v>
      </c>
    </row>
    <row r="18" customFormat="false" ht="15" hidden="false" customHeight="false" outlineLevel="0" collapsed="false">
      <c r="A18" s="15" t="s">
        <v>2328</v>
      </c>
      <c r="B18" s="10" t="s">
        <v>2335</v>
      </c>
      <c r="C18" s="15" t="s">
        <v>2336</v>
      </c>
      <c r="D18" s="15" t="s">
        <v>2337</v>
      </c>
    </row>
    <row r="19" customFormat="false" ht="15" hidden="false" customHeight="false" outlineLevel="0" collapsed="false">
      <c r="A19" s="15" t="s">
        <v>2338</v>
      </c>
      <c r="B19" s="10" t="s">
        <v>2339</v>
      </c>
      <c r="C19" s="15" t="s">
        <v>2340</v>
      </c>
      <c r="D19" s="15" t="s">
        <v>2341</v>
      </c>
    </row>
    <row r="20" customFormat="false" ht="15" hidden="false" customHeight="false" outlineLevel="0" collapsed="false">
      <c r="A20" s="15" t="s">
        <v>2338</v>
      </c>
      <c r="B20" s="10" t="s">
        <v>2342</v>
      </c>
      <c r="C20" s="15" t="s">
        <v>2343</v>
      </c>
      <c r="D20" s="15" t="s">
        <v>2344</v>
      </c>
    </row>
    <row r="21" customFormat="false" ht="15" hidden="false" customHeight="false" outlineLevel="0" collapsed="false">
      <c r="A21" s="15" t="s">
        <v>2338</v>
      </c>
      <c r="B21" s="10" t="s">
        <v>2345</v>
      </c>
      <c r="C21" s="15" t="s">
        <v>2346</v>
      </c>
      <c r="D21" s="15" t="s">
        <v>2347</v>
      </c>
    </row>
    <row r="22" customFormat="false" ht="15" hidden="false" customHeight="false" outlineLevel="0" collapsed="false">
      <c r="A22" s="15" t="s">
        <v>2338</v>
      </c>
      <c r="B22" s="10" t="s">
        <v>2348</v>
      </c>
      <c r="C22" s="15" t="s">
        <v>2349</v>
      </c>
      <c r="D22" s="15" t="s">
        <v>2350</v>
      </c>
    </row>
    <row r="23" customFormat="false" ht="15" hidden="false" customHeight="false" outlineLevel="0" collapsed="false">
      <c r="A23" s="15" t="s">
        <v>2351</v>
      </c>
      <c r="B23" s="10" t="s">
        <v>2352</v>
      </c>
      <c r="C23" s="15" t="s">
        <v>2353</v>
      </c>
      <c r="D23" s="15"/>
    </row>
    <row r="24" customFormat="false" ht="15" hidden="false" customHeight="false" outlineLevel="0" collapsed="false">
      <c r="A24" s="15" t="s">
        <v>2351</v>
      </c>
      <c r="B24" s="10" t="s">
        <v>2354</v>
      </c>
      <c r="C24" s="15" t="s">
        <v>2355</v>
      </c>
      <c r="D24" s="15"/>
    </row>
    <row r="25" customFormat="false" ht="15" hidden="false" customHeight="false" outlineLevel="0" collapsed="false">
      <c r="A25" s="15" t="s">
        <v>2351</v>
      </c>
      <c r="B25" s="10" t="s">
        <v>2356</v>
      </c>
      <c r="C25" s="15" t="s">
        <v>2357</v>
      </c>
      <c r="D25" s="15" t="s">
        <v>2358</v>
      </c>
    </row>
    <row r="26" customFormat="false" ht="15" hidden="false" customHeight="false" outlineLevel="0" collapsed="false">
      <c r="A26" s="15" t="s">
        <v>2351</v>
      </c>
      <c r="B26" s="10" t="s">
        <v>2359</v>
      </c>
      <c r="C26" s="15" t="s">
        <v>2360</v>
      </c>
      <c r="D26" s="15" t="s">
        <v>2361</v>
      </c>
    </row>
    <row r="27" customFormat="false" ht="15" hidden="false" customHeight="false" outlineLevel="0" collapsed="false">
      <c r="A27" s="15" t="s">
        <v>2351</v>
      </c>
      <c r="B27" s="10" t="s">
        <v>2362</v>
      </c>
      <c r="C27" s="15" t="s">
        <v>2363</v>
      </c>
      <c r="D27" s="15" t="s">
        <v>2364</v>
      </c>
    </row>
    <row r="28" customFormat="false" ht="15" hidden="false" customHeight="false" outlineLevel="0" collapsed="false">
      <c r="A28" s="15" t="s">
        <v>2351</v>
      </c>
      <c r="B28" s="10" t="s">
        <v>2365</v>
      </c>
      <c r="C28" s="15" t="s">
        <v>2366</v>
      </c>
      <c r="D28" s="15" t="s">
        <v>2367</v>
      </c>
    </row>
    <row r="29" customFormat="false" ht="15" hidden="false" customHeight="false" outlineLevel="0" collapsed="false">
      <c r="A29" s="15" t="s">
        <v>53</v>
      </c>
      <c r="B29" s="10" t="s">
        <v>2368</v>
      </c>
      <c r="C29" s="15" t="s">
        <v>56</v>
      </c>
      <c r="D29" s="15" t="s">
        <v>2369</v>
      </c>
    </row>
    <row r="30" customFormat="false" ht="15" hidden="false" customHeight="false" outlineLevel="0" collapsed="false">
      <c r="A30" s="15" t="s">
        <v>53</v>
      </c>
      <c r="B30" s="10" t="s">
        <v>2370</v>
      </c>
      <c r="C30" s="15" t="s">
        <v>58</v>
      </c>
      <c r="D30" s="15" t="s">
        <v>2371</v>
      </c>
    </row>
    <row r="31" customFormat="false" ht="15" hidden="false" customHeight="false" outlineLevel="0" collapsed="false">
      <c r="A31" s="15" t="s">
        <v>53</v>
      </c>
      <c r="B31" s="10" t="s">
        <v>2372</v>
      </c>
      <c r="C31" s="15" t="s">
        <v>60</v>
      </c>
      <c r="D31" s="15" t="s">
        <v>2373</v>
      </c>
    </row>
    <row r="32" customFormat="false" ht="15" hidden="false" customHeight="false" outlineLevel="0" collapsed="false">
      <c r="A32" s="15" t="s">
        <v>2374</v>
      </c>
      <c r="B32" s="10" t="s">
        <v>2375</v>
      </c>
      <c r="C32" s="15" t="s">
        <v>112</v>
      </c>
      <c r="D32" s="15" t="s">
        <v>2376</v>
      </c>
    </row>
    <row r="33" customFormat="false" ht="15" hidden="false" customHeight="false" outlineLevel="0" collapsed="false">
      <c r="A33" s="15" t="s">
        <v>2374</v>
      </c>
      <c r="B33" s="10" t="s">
        <v>2377</v>
      </c>
      <c r="C33" s="15" t="s">
        <v>149</v>
      </c>
      <c r="D33" s="15" t="s">
        <v>2378</v>
      </c>
    </row>
    <row r="34" customFormat="false" ht="15" hidden="false" customHeight="false" outlineLevel="0" collapsed="false">
      <c r="A34" s="15" t="s">
        <v>2374</v>
      </c>
      <c r="B34" s="10" t="s">
        <v>2379</v>
      </c>
      <c r="C34" s="15" t="s">
        <v>2380</v>
      </c>
      <c r="D34" s="15" t="s">
        <v>2381</v>
      </c>
    </row>
    <row r="35" customFormat="false" ht="15" hidden="false" customHeight="false" outlineLevel="0" collapsed="false">
      <c r="A35" s="15" t="s">
        <v>2374</v>
      </c>
      <c r="B35" s="10" t="s">
        <v>2382</v>
      </c>
      <c r="C35" s="15" t="s">
        <v>227</v>
      </c>
      <c r="D35" s="15" t="s">
        <v>2383</v>
      </c>
    </row>
    <row r="36" customFormat="false" ht="15" hidden="false" customHeight="false" outlineLevel="0" collapsed="false">
      <c r="A36" s="15" t="s">
        <v>2374</v>
      </c>
      <c r="B36" s="10" t="s">
        <v>2384</v>
      </c>
      <c r="C36" s="15" t="s">
        <v>2385</v>
      </c>
      <c r="D36" s="15" t="s">
        <v>2386</v>
      </c>
    </row>
    <row r="37" customFormat="false" ht="15" hidden="false" customHeight="false" outlineLevel="0" collapsed="false">
      <c r="A37" s="15" t="s">
        <v>2374</v>
      </c>
      <c r="B37" s="10" t="s">
        <v>2387</v>
      </c>
      <c r="C37" s="15" t="s">
        <v>581</v>
      </c>
      <c r="D37" s="15" t="s">
        <v>2388</v>
      </c>
    </row>
    <row r="38" customFormat="false" ht="15" hidden="false" customHeight="false" outlineLevel="0" collapsed="false">
      <c r="A38" s="15" t="s">
        <v>2374</v>
      </c>
      <c r="B38" s="10" t="s">
        <v>2389</v>
      </c>
      <c r="C38" s="15" t="s">
        <v>779</v>
      </c>
      <c r="D38" s="15" t="s">
        <v>2390</v>
      </c>
    </row>
    <row r="39" customFormat="false" ht="15" hidden="false" customHeight="false" outlineLevel="0" collapsed="false">
      <c r="A39" s="15" t="s">
        <v>2391</v>
      </c>
      <c r="B39" s="10" t="s">
        <v>2392</v>
      </c>
      <c r="C39" s="15" t="s">
        <v>2393</v>
      </c>
      <c r="D39" s="15"/>
    </row>
    <row r="40" customFormat="false" ht="15" hidden="false" customHeight="false" outlineLevel="0" collapsed="false">
      <c r="A40" s="15" t="s">
        <v>2391</v>
      </c>
      <c r="B40" s="10" t="s">
        <v>2394</v>
      </c>
      <c r="C40" s="15" t="s">
        <v>2395</v>
      </c>
      <c r="D40" s="15" t="s">
        <v>2396</v>
      </c>
    </row>
    <row r="41" customFormat="false" ht="15" hidden="false" customHeight="false" outlineLevel="0" collapsed="false">
      <c r="A41" s="15" t="s">
        <v>2391</v>
      </c>
      <c r="B41" s="10" t="s">
        <v>2397</v>
      </c>
      <c r="C41" s="15" t="s">
        <v>2398</v>
      </c>
      <c r="D41" s="15" t="s">
        <v>2399</v>
      </c>
    </row>
    <row r="42" customFormat="false" ht="15" hidden="false" customHeight="false" outlineLevel="0" collapsed="false">
      <c r="A42" s="15" t="s">
        <v>2391</v>
      </c>
      <c r="B42" s="10" t="s">
        <v>2400</v>
      </c>
      <c r="C42" s="15" t="s">
        <v>2401</v>
      </c>
      <c r="D42" s="15" t="s">
        <v>2402</v>
      </c>
    </row>
    <row r="43" customFormat="false" ht="15" hidden="false" customHeight="false" outlineLevel="0" collapsed="false">
      <c r="A43" s="15" t="s">
        <v>2403</v>
      </c>
      <c r="B43" s="10" t="s">
        <v>2404</v>
      </c>
      <c r="C43" s="15" t="s">
        <v>72</v>
      </c>
      <c r="D43" s="15" t="s">
        <v>2405</v>
      </c>
    </row>
    <row r="44" customFormat="false" ht="15" hidden="false" customHeight="false" outlineLevel="0" collapsed="false">
      <c r="A44" s="15" t="s">
        <v>2403</v>
      </c>
      <c r="B44" s="10" t="s">
        <v>2406</v>
      </c>
      <c r="C44" s="15" t="s">
        <v>73</v>
      </c>
      <c r="D44" s="15" t="s">
        <v>2407</v>
      </c>
    </row>
    <row r="45" customFormat="false" ht="15" hidden="false" customHeight="false" outlineLevel="0" collapsed="false">
      <c r="A45" s="15" t="s">
        <v>2403</v>
      </c>
      <c r="B45" s="10" t="s">
        <v>2408</v>
      </c>
      <c r="C45" s="15" t="s">
        <v>74</v>
      </c>
      <c r="D45" s="15" t="s">
        <v>2409</v>
      </c>
    </row>
    <row r="46" customFormat="false" ht="15" hidden="false" customHeight="false" outlineLevel="0" collapsed="false">
      <c r="A46" s="15" t="s">
        <v>2403</v>
      </c>
      <c r="B46" s="10" t="s">
        <v>2410</v>
      </c>
      <c r="C46" s="15" t="s">
        <v>75</v>
      </c>
      <c r="D46" s="15" t="s">
        <v>2411</v>
      </c>
    </row>
    <row r="47" customFormat="false" ht="15" hidden="false" customHeight="false" outlineLevel="0" collapsed="false">
      <c r="A47" s="15" t="s">
        <v>2403</v>
      </c>
      <c r="B47" s="10" t="s">
        <v>2412</v>
      </c>
      <c r="C47" s="15" t="s">
        <v>76</v>
      </c>
      <c r="D47" s="15" t="s">
        <v>2413</v>
      </c>
    </row>
    <row r="48" customFormat="false" ht="15" hidden="false" customHeight="false" outlineLevel="0" collapsed="false">
      <c r="A48" s="15" t="s">
        <v>2414</v>
      </c>
      <c r="B48" s="10" t="s">
        <v>2415</v>
      </c>
      <c r="C48" s="15" t="s">
        <v>2416</v>
      </c>
      <c r="D48" s="15" t="s">
        <v>2417</v>
      </c>
    </row>
    <row r="49" customFormat="false" ht="15" hidden="false" customHeight="false" outlineLevel="0" collapsed="false">
      <c r="A49" s="15" t="s">
        <v>2414</v>
      </c>
      <c r="B49" s="10" t="s">
        <v>2418</v>
      </c>
      <c r="C49" s="15" t="s">
        <v>2065</v>
      </c>
      <c r="D49" s="15" t="s">
        <v>2419</v>
      </c>
    </row>
    <row r="50" customFormat="false" ht="15" hidden="false" customHeight="false" outlineLevel="0" collapsed="false">
      <c r="A50" s="15" t="s">
        <v>2414</v>
      </c>
      <c r="B50" s="10" t="s">
        <v>2420</v>
      </c>
      <c r="C50" s="15" t="s">
        <v>2010</v>
      </c>
      <c r="D50" s="15" t="s">
        <v>2421</v>
      </c>
    </row>
    <row r="51" customFormat="false" ht="15" hidden="false" customHeight="false" outlineLevel="0" collapsed="false">
      <c r="A51" s="15" t="s">
        <v>2422</v>
      </c>
      <c r="B51" s="10" t="s">
        <v>2423</v>
      </c>
      <c r="C51" s="15" t="s">
        <v>2424</v>
      </c>
      <c r="D51" s="15" t="s">
        <v>2425</v>
      </c>
    </row>
    <row r="52" customFormat="false" ht="15" hidden="false" customHeight="false" outlineLevel="0" collapsed="false">
      <c r="A52" s="15" t="s">
        <v>2422</v>
      </c>
      <c r="B52" s="10" t="s">
        <v>2426</v>
      </c>
      <c r="C52" s="15" t="s">
        <v>2427</v>
      </c>
      <c r="D52" s="15"/>
    </row>
    <row r="53" customFormat="false" ht="15" hidden="false" customHeight="false" outlineLevel="0" collapsed="false">
      <c r="A53" s="15" t="s">
        <v>2422</v>
      </c>
      <c r="B53" s="10" t="s">
        <v>2428</v>
      </c>
      <c r="C53" s="15" t="s">
        <v>2429</v>
      </c>
      <c r="D53" s="15" t="s">
        <v>2430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2026-09-25T13:14:58Z</dcterms:created>
  <dc:creator>openpyxl</dc:creator>
  <dc:description/>
  <dc:language>en-US</dc:language>
  <cp:lastModifiedBy/>
  <dcterms:modified xsi:type="dcterms:W3CDTF">2026-09-25T13:14:58Z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