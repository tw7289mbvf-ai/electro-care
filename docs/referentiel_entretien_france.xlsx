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ynthese" sheetId="2" state="visible" r:id="rId4"/>
    <sheet name="Equipements" sheetId="3" state="visible" r:id="rId5"/>
    <sheet name="Taches" sheetId="4" state="visible" r:id="rId6"/>
    <sheet name="Questionnaire" sheetId="5" state="visible" r:id="rId7"/>
    <sheet name="Questions de date" sheetId="6" state="visible" r:id="rId8"/>
    <sheet name="Plaques par marque" sheetId="7" state="visible" r:id="rId9"/>
    <sheet name="Obligations legales" sheetId="8" state="visible" r:id="rId10"/>
    <sheet name="Referentiel" sheetId="9" state="visible" r:id="rId11"/>
  </sheets>
  <definedNames>
    <definedName function="false" hidden="true" localSheetId="2" name="_xlnm._FilterDatabase" vbProcedure="false">Equipements!$A$5:$R$112</definedName>
    <definedName function="false" hidden="true" localSheetId="7" name="_xlnm._FilterDatabase" vbProcedure="false">'Obligations legales'!$A$5:$N$26</definedName>
    <definedName function="false" hidden="true" localSheetId="6" name="_xlnm._FilterDatabase" vbProcedure="false">'Plaques par marque'!$A$5:$J$22</definedName>
    <definedName function="false" hidden="true" localSheetId="4" name="_xlnm._FilterDatabase" vbProcedure="false">Questionnaire!$A$5:$M$89</definedName>
    <definedName function="false" hidden="true" localSheetId="5" name="_xlnm._FilterDatabase" vbProcedure="false">'Questions de date'!$A$5:$G$41</definedName>
    <definedName function="false" hidden="true" localSheetId="3" name="_xlnm._FilterDatabase" vbProcedure="false">Taches!$A$5:$Q$159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<sst xmlns="http://schemas.openxmlformats.org/spreadsheetml/2006/main" count="5794" uniqueCount="2441">
  <si>
    <t xml:space="preserve">Referentiel d'entretien des equipements du logement - France</t>
  </si>
  <si>
    <t xml:space="preserve">Base de donnees source pour une application de suivi d'entretien (marche francais)</t>
  </si>
  <si>
    <t xml:space="preserve">Objet du document</t>
  </si>
  <si>
    <t xml:space="preserve">Recenser les equipements d'un logement francais qui demandent un entretien periodique, decrire le geste d'entretien associe, et distinguer ce qui releve d'une obligation legale de ce qui releve de la bonne pratique. Ce fichier est concu comme le jeu de donnees d'amorcage (seed) d'une application, pas comme un document de lecture.</t>
  </si>
  <si>
    <t xml:space="preserve">Onglet Synthese</t>
  </si>
  <si>
    <t xml:space="preserve">Compteurs automatiques par categorie, par palier d'abonnement et par type d'intervenant. Toutes les cellules sont des formules : elles se recalculent si vous ajoutez des lignes dans les onglets Equipements et Taches.</t>
  </si>
  <si>
    <t xml:space="preserve">Onglet Equipements</t>
  </si>
  <si>
    <t xml:space="preserve">107 equipements. Colonne B : la categorie affichee dans l'application (10 au total). Colonne C : le groupe technique, qui organise le referentiel. C'est le type d'equipement, pas la categorie, qui porte les taches et les obligations. Un equipement = une ligne = une entree du catalogue de l'application. La colonne Priorite MVP indique ce qu'il faut couvrir des la premiere version (1 = indispensable).</t>
  </si>
  <si>
    <t xml:space="preserve">Onglet Taches d'entretien</t>
  </si>
  <si>
    <t xml:space="preserve">154 taches rattachees aux equipements par l'identifiant. C'est le coeur du produit : chaque tache porte sa frequence, sa saison, sa duree, ses consommables, son mode operatoire et surtout la consequence si elle n'est pas faite.</t>
  </si>
  <si>
    <t xml:space="preserve">Ajout par photo</t>
  </si>
  <si>
    <t xml:space="preserve">Onglet Equipements, colonnes O a R : ce qu'il faut photographier (plaque, etiquette datee, cadran ou document), ou le trouver, quels champs lire et que faire si la plaque est inaccessible.</t>
  </si>
  <si>
    <t xml:space="preserve">Onglet Plaques par marque</t>
  </si>
  <si>
    <t xml:space="preserve">Couche adaptative : des que la marque est connue (saisie ou lue sur le logo), l'application affiche l'emplacement propre au fabricant et valide l'identifiant lu contre le format attendu. Colonne Statut : seules les lignes verifiees sont a pousser en production.</t>
  </si>
  <si>
    <t xml:space="preserve">Onglet Obligations legales</t>
  </si>
  <si>
    <t xml:space="preserve">21 obligations reglementaires avec le texte de reference, la frequence, le redevable, le justificatif a conserver et la sanction encourue. Colonnes J a N : les risques en cas de non-conformite, decomposes pour l'affichage (amende, assurance, responsabilite, danger, autre consequence). C'est l'argument commercial le plus solide sur le marche francais : la conformite prime sur la duree de vie dans l'esprit du client.</t>
  </si>
  <si>
    <t xml:space="preserve">Onglet Questionnaire</t>
  </si>
  <si>
    <t xml:space="preserve">Le questionnaire d'accueil, pose a la premiere utilisation et pour chaque nouveau lieu. Une ligne = une reponse possible, avec les types d'appareil qu'elle cree. Ensuite, les appareils s'ajoutent un par un (photo, facture, saisie). Les textes de cet onglet et les colonnes de risques sont rediges pour l'ecran, donc accentues.</t>
  </si>
  <si>
    <t xml:space="preserve">Onglet Referentiel</t>
  </si>
  <si>
    <t xml:space="preserve">Nomenclatures a reprendre telles quelles dans le modele de donnees : categories, types de frequence, paliers, statuts de tache, types de justificatif.</t>
  </si>
  <si>
    <t xml:space="preserve">Legende des couleurs</t>
  </si>
  <si>
    <t xml:space="preserve">Obligation legale</t>
  </si>
  <si>
    <t xml:space="preserve">Ligne ou cellule ambre : obligation reglementaire, a traiter en priorite dans le produit.</t>
  </si>
  <si>
    <t xml:space="preserve">Tache realisable soi-meme</t>
  </si>
  <si>
    <t xml:space="preserve">Vert : tache DIY, eligible au palier gratuit.</t>
  </si>
  <si>
    <t xml:space="preserve">Intervention professionnelle</t>
  </si>
  <si>
    <t xml:space="preserve">Bleu : necessite un professionnel, matiere du palier Care.</t>
  </si>
  <si>
    <t xml:space="preserve">Sources et limites</t>
  </si>
  <si>
    <t xml:space="preserve">- Reglementation verifiee en septembre 2026 aupres de service-public.fr, Legifrance, ecologie.gouv.fr et GRDF. Les URL figurent dans l'onglet Obligations legales. La reglementation evolue : prevoir une revue annuelle du referentiel.</t>
  </si>
  <si>
    <t xml:space="preserve">- Durees de vie : ordres de grandeur constructeurs et ADEME, pas des engagements. Elles servent a calibrer les alertes de fin de vie, pas a promettre une longevite.</t>
  </si>
  <si>
    <t xml:space="preserve">- Couts indicatifs : fourchettes de marche 2026 hors contrat, TTC, variables selon la region et la tension du secteur. A reverifier avant tout affichage de prix dans l'application.</t>
  </si>
  <si>
    <t xml:space="preserve">- Les frequences non reglementaires sont des recommandations d'usage courant. Elles doivent etre confrontees a la notice du fabricant pour chaque modele avant d'etre poussees en notification.</t>
  </si>
  <si>
    <t xml:space="preserve">- Ce document n'a pas valeur de conseil juridique. Faire valider le volet reglementaire par un juriste avant toute communication commerciale fondee sur la conformite.</t>
  </si>
  <si>
    <t xml:space="preserve">Synthese du referentiel</t>
  </si>
  <si>
    <t xml:space="preserve">Cellules calculees : elles se mettent a jour si vous ajoutez des lignes.</t>
  </si>
  <si>
    <t xml:space="preserve">Categorie</t>
  </si>
  <si>
    <t xml:space="preserve">Equipements</t>
  </si>
  <si>
    <t xml:space="preserve">dont obligation</t>
  </si>
  <si>
    <t xml:space="preserve">Taches</t>
  </si>
  <si>
    <t xml:space="preserve">dont DIY</t>
  </si>
  <si>
    <t xml:space="preserve">dont Pro</t>
  </si>
  <si>
    <t xml:space="preserve">Cuisine</t>
  </si>
  <si>
    <t xml:space="preserve">Buanderie</t>
  </si>
  <si>
    <t xml:space="preserve">Chauffage &amp; climatisation</t>
  </si>
  <si>
    <t xml:space="preserve">Petit electromenager</t>
  </si>
  <si>
    <t xml:space="preserve">Electronique</t>
  </si>
  <si>
    <t xml:space="preserve">Jardin &amp; piscine</t>
  </si>
  <si>
    <t xml:space="preserve">Maison &amp; securite</t>
  </si>
  <si>
    <t xml:space="preserve">Energie</t>
  </si>
  <si>
    <t xml:space="preserve">Vehicules</t>
  </si>
  <si>
    <t xml:space="preserve">Autre</t>
  </si>
  <si>
    <t xml:space="preserve">TOTAL</t>
  </si>
  <si>
    <t xml:space="preserve">Repartition par palier d'abonnement</t>
  </si>
  <si>
    <t xml:space="preserve">Palier</t>
  </si>
  <si>
    <t xml:space="preserve">Nb de taches</t>
  </si>
  <si>
    <t xml:space="preserve">% du total</t>
  </si>
  <si>
    <t xml:space="preserve">Gratuit</t>
  </si>
  <si>
    <t xml:space="preserve">Rappels + mode operatoire</t>
  </si>
  <si>
    <t xml:space="preserve">Plus</t>
  </si>
  <si>
    <t xml:space="preserve">Multi-biens, coffre-fort de documents</t>
  </si>
  <si>
    <t xml:space="preserve">Care</t>
  </si>
  <si>
    <t xml:space="preserve">Intervention a domicile</t>
  </si>
  <si>
    <t xml:space="preserve">Indicateurs cles</t>
  </si>
  <si>
    <t xml:space="preserve">Taches soumises a obligation legale</t>
  </si>
  <si>
    <t xml:space="preserve">Taches realisables par l'occupant</t>
  </si>
  <si>
    <t xml:space="preserve">Taches necessitant un professionnel</t>
  </si>
  <si>
    <t xml:space="preserve">Equipements a couvrir des le MVP (priorite 1)</t>
  </si>
  <si>
    <t xml:space="preserve">Temps DIY cumule sur un an (heures)</t>
  </si>
  <si>
    <t xml:space="preserve">Le temps DIY cumule suppose un logement equipe de la totalite du referentiel : c'est un majorant, utile pour dimensionner la charge percue, pas une moyenne de marche.</t>
  </si>
  <si>
    <t xml:space="preserve">Ajout par photo : que photographier ?</t>
  </si>
  <si>
    <t xml:space="preserve">Cible photo</t>
  </si>
  <si>
    <t xml:space="preserve">% du catalogue</t>
  </si>
  <si>
    <t xml:space="preserve">Plaque signaletique</t>
  </si>
  <si>
    <t xml:space="preserve">Etiquette datee</t>
  </si>
  <si>
    <t xml:space="preserve">Cadran</t>
  </si>
  <si>
    <t xml:space="preserve">Document</t>
  </si>
  <si>
    <t xml:space="preserve">Aucune</t>
  </si>
  <si>
    <t xml:space="preserve">Catalogue des equipements</t>
  </si>
  <si>
    <t xml:space="preserve">Un equipement = une entree du catalogue produit. La colonne Nb de taches est calculee.</t>
  </si>
  <si>
    <t xml:space="preserve">ID</t>
  </si>
  <si>
    <t xml:space="preserve">Groupe technique</t>
  </si>
  <si>
    <t xml:space="preserve">Equipement</t>
  </si>
  <si>
    <t xml:space="preserve">Duree de vie</t>
  </si>
  <si>
    <t xml:space="preserve">Reference reglementaire</t>
  </si>
  <si>
    <t xml:space="preserve">Frequence de reference</t>
  </si>
  <si>
    <t xml:space="preserve">Intervenant</t>
  </si>
  <si>
    <t xml:space="preserve">Justificatif a conserver</t>
  </si>
  <si>
    <t xml:space="preserve">Cout pro indicatif</t>
  </si>
  <si>
    <t xml:space="preserve">Enjeu si neglige</t>
  </si>
  <si>
    <t xml:space="preserve">Priorite MVP</t>
  </si>
  <si>
    <t xml:space="preserve">Ou trouver la plaque (generique)</t>
  </si>
  <si>
    <t xml:space="preserve">Champs a lire</t>
  </si>
  <si>
    <t xml:space="preserve">Astuce / alternative</t>
  </si>
  <si>
    <t xml:space="preserve">CH-01</t>
  </si>
  <si>
    <t xml:space="preserve">Chauffage</t>
  </si>
  <si>
    <t xml:space="preserve">Chaudière gaz individuelle (4-400 kW)</t>
  </si>
  <si>
    <t xml:space="preserve">15-20 ans</t>
  </si>
  <si>
    <t xml:space="preserve">Oui</t>
  </si>
  <si>
    <t xml:space="preserve">Décret 2009-649 + arrêté 15/09/2009 (C. env. R224-41-4 s.)</t>
  </si>
  <si>
    <t xml:space="preserve">Annuel</t>
  </si>
  <si>
    <t xml:space="preserve">Pro qualifié (PG)</t>
  </si>
  <si>
    <t xml:space="preserve">Attestation d'entretien (remise sous 15 j)</t>
  </si>
  <si>
    <t xml:space="preserve">100-180 EUR</t>
  </si>
  <si>
    <t xml:space="preserve">Intoxication au CO, refus de prise en charge assurance, surconsommation 10-15%</t>
  </si>
  <si>
    <t xml:space="preserve">Plaque signalétique</t>
  </si>
  <si>
    <t xml:space="preserve">Sous l'appareil ou derrière le capot avant ; parfois sur le flanc</t>
  </si>
  <si>
    <t xml:space="preserve">Marque, modèle, n. de série, puissance nominale (kW), type de gaz, année</t>
  </si>
  <si>
    <t xml:space="preserve">Ne jamais déposer le capot d'un appareil gaz. Alternative : attestation d'entretien ou facture de l'installateur</t>
  </si>
  <si>
    <t xml:space="preserve">CH-02</t>
  </si>
  <si>
    <t xml:space="preserve">Chaudière fioul</t>
  </si>
  <si>
    <t xml:space="preserve">20-25 ans</t>
  </si>
  <si>
    <t xml:space="preserve">Décret 2009-649 + arrêté 15/09/2009</t>
  </si>
  <si>
    <t xml:space="preserve">Pro qualifié</t>
  </si>
  <si>
    <t xml:space="preserve">Attestation d'entretien</t>
  </si>
  <si>
    <t xml:space="preserve">130-220 EUR</t>
  </si>
  <si>
    <t xml:space="preserve">Encrassement du brûleur, pannes hivernales, refus assurance</t>
  </si>
  <si>
    <t xml:space="preserve">Flanc ou porte de façade de la chaudière ; plaque distincte sur le brûleur</t>
  </si>
  <si>
    <t xml:space="preserve">Marque, modèle, n. de série, puissance (kW) ; modèle du brûleur</t>
  </si>
  <si>
    <t xml:space="preserve">Deux plaques à photographier : chaudière et brûleur</t>
  </si>
  <si>
    <t xml:space="preserve">CH-03</t>
  </si>
  <si>
    <t xml:space="preserve">Chaudière bois / granules</t>
  </si>
  <si>
    <t xml:space="preserve">Décret 2009-649 ; décret 2023-641 (entretien + ramonage)</t>
  </si>
  <si>
    <t xml:space="preserve">Attestation d'entretien + certificat de ramonage</t>
  </si>
  <si>
    <t xml:space="preserve">150-280 EUR</t>
  </si>
  <si>
    <t xml:space="preserve">Feu de conduit, émissions de particules, perte de rendement</t>
  </si>
  <si>
    <t xml:space="preserve">Flanc ou arrière de l'appareil, parfois sous le capot du silo</t>
  </si>
  <si>
    <t xml:space="preserve">Marque, modèle, n. de série, puissance (kW), combustible</t>
  </si>
  <si>
    <t xml:space="preserve">Alternative : attestation d'entretien</t>
  </si>
  <si>
    <t xml:space="preserve">CH-04</t>
  </si>
  <si>
    <t xml:space="preserve">Poêle à granules</t>
  </si>
  <si>
    <t xml:space="preserve">Décret 2023-641 (entretien 12 mois) + ramonage</t>
  </si>
  <si>
    <t xml:space="preserve">120-200 EUR</t>
  </si>
  <si>
    <t xml:space="preserve">Encrassement du creuset, arrêt en pleine saison, feu de conduit</t>
  </si>
  <si>
    <t xml:space="preserve">Au dos de l'appareil ; parfois sous le couvercle du réservoir à granules</t>
  </si>
  <si>
    <t xml:space="preserve">Marque, modèle, n. de série, puissance (kW), norme EN 14785</t>
  </si>
  <si>
    <t xml:space="preserve">Ne pas déplacer un poêle raccordé : utiliser la notice ou la facture</t>
  </si>
  <si>
    <t xml:space="preserve">CH-05</t>
  </si>
  <si>
    <t xml:space="preserve">Poêle à bois / insert / foyer fermé</t>
  </si>
  <si>
    <t xml:space="preserve">20-30 ans</t>
  </si>
  <si>
    <t xml:space="preserve">Décret 2023-641</t>
  </si>
  <si>
    <t xml:space="preserve">80-150 EUR</t>
  </si>
  <si>
    <t xml:space="preserve">Feu de cheminée, intoxication au CO</t>
  </si>
  <si>
    <t xml:space="preserve">Au dos ou sous l'appareil ; pour un insert, plaque souvent fixée dans l'habillage</t>
  </si>
  <si>
    <t xml:space="preserve">Marque, modèle, puissance (kW), norme EN 13240 ou EN 13229</t>
  </si>
  <si>
    <t xml:space="preserve">Insert encastré : plaque souvent inaccessible, utiliser la notice ou la facture</t>
  </si>
  <si>
    <t xml:space="preserve">CH-06</t>
  </si>
  <si>
    <t xml:space="preserve">Cheminée à foyer ouvert</t>
  </si>
  <si>
    <t xml:space="preserve">30 ans et +</t>
  </si>
  <si>
    <t xml:space="preserve">Décret 2023-641 : exempte d'entretien, ramonage obligatoire</t>
  </si>
  <si>
    <t xml:space="preserve">Ramonage annuel min.</t>
  </si>
  <si>
    <t xml:space="preserve">Certificat de ramonage</t>
  </si>
  <si>
    <t xml:space="preserve">60-120 EUR</t>
  </si>
  <si>
    <t xml:space="preserve">Feu de conduit, propagation à la charpente</t>
  </si>
  <si>
    <t xml:space="preserve">Pas de plaque</t>
  </si>
  <si>
    <t xml:space="preserve">-</t>
  </si>
  <si>
    <t xml:space="preserve">Photographier le dernier certificat de ramonage</t>
  </si>
  <si>
    <t xml:space="preserve">CH-07</t>
  </si>
  <si>
    <t xml:space="preserve">Conduit de fumée</t>
  </si>
  <si>
    <t xml:space="preserve">30-50 ans</t>
  </si>
  <si>
    <t xml:space="preserve">Décret 2023-641 du 20/07/2023 (en vigueur 01/10/2023)</t>
  </si>
  <si>
    <t xml:space="preserve">1/an min. ; 2/an si &gt; 6 m3 de bois ou &gt; 2,5 t de granules par an</t>
  </si>
  <si>
    <t xml:space="preserve">Pro qualifié (ramonage mécanique)</t>
  </si>
  <si>
    <t xml:space="preserve">Certificat de ramonage (conserver 5 ans)</t>
  </si>
  <si>
    <t xml:space="preserve">Amende 3e classe jusqu'à 450 EUR, refus assurance après sinistre</t>
  </si>
  <si>
    <t xml:space="preserve">Conduits récents : plaque du conduit près du raccordement ou dans les combles</t>
  </si>
  <si>
    <t xml:space="preserve">Classe du conduit (température, résistance au feu), diamètre</t>
  </si>
  <si>
    <t xml:space="preserve">À défaut : certificat de ramonage</t>
  </si>
  <si>
    <t xml:space="preserve">CH-08</t>
  </si>
  <si>
    <t xml:space="preserve">Pompe à chaleur air/eau (4-70 kW)</t>
  </si>
  <si>
    <t xml:space="preserve">Décret 2020-912 + arrêté 24/07/2020</t>
  </si>
  <si>
    <t xml:space="preserve">Tous les 2 ans</t>
  </si>
  <si>
    <t xml:space="preserve">150-250 EUR</t>
  </si>
  <si>
    <t xml:space="preserve">Perte de COP, fuite de fluide frigorigene, casse compresseur</t>
  </si>
  <si>
    <t xml:space="preserve">Unité extérieure : flanc ou dos. Module intérieur : sous le capot avant ou sur le côté</t>
  </si>
  <si>
    <t xml:space="preserve">Modèle, n. de série, puissance (kW), type de fluide (R32, R410A...), charge en kg et en t eq. CO2, mention hermétiquement scellé</t>
  </si>
  <si>
    <t xml:space="preserve">Fluide + charge + mention scellé déterminent le contrôle d'étanchéité : c'est ici que la photo calcule le statut légal</t>
  </si>
  <si>
    <t xml:space="preserve">CH-09</t>
  </si>
  <si>
    <t xml:space="preserve">Pompe à chaleur air/air réversible</t>
  </si>
  <si>
    <t xml:space="preserve">12-15 ans</t>
  </si>
  <si>
    <t xml:space="preserve">Oui si &gt;= 4 kW</t>
  </si>
  <si>
    <t xml:space="preserve">Décret 2020-912 (des 4 kW)</t>
  </si>
  <si>
    <t xml:space="preserve">Qualité d'air dégradée, surconsommation, fuite de fluide</t>
  </si>
  <si>
    <t xml:space="preserve">Unité extérieure : flanc ou dos. Unité intérieure : sous le capot frontal ou sur le côté</t>
  </si>
  <si>
    <t xml:space="preserve">CH-10</t>
  </si>
  <si>
    <t xml:space="preserve">PAC geothermique</t>
  </si>
  <si>
    <t xml:space="preserve">Décret 2020-912</t>
  </si>
  <si>
    <t xml:space="preserve">200-350 EUR</t>
  </si>
  <si>
    <t xml:space="preserve">Déperdition du champ de captage, casse compresseur</t>
  </si>
  <si>
    <t xml:space="preserve">Flanc ou derrière le capot avant du module intérieur</t>
  </si>
  <si>
    <t xml:space="preserve">CH-11</t>
  </si>
  <si>
    <t xml:space="preserve">Radiateurs à eau chaude</t>
  </si>
  <si>
    <t xml:space="preserve">25-40 ans</t>
  </si>
  <si>
    <t xml:space="preserve">Non</t>
  </si>
  <si>
    <t xml:space="preserve">Purge annuelle recommandée</t>
  </si>
  <si>
    <t xml:space="preserve">Particulier</t>
  </si>
  <si>
    <t xml:space="preserve">0 EUR</t>
  </si>
  <si>
    <t xml:space="preserve">Radiateurs froids en haut, surconsommation, bruits de circuit</t>
  </si>
  <si>
    <t xml:space="preserve">Pas de plaque exploitable</t>
  </si>
  <si>
    <t xml:space="preserve">Pas d'identification nécessaire</t>
  </si>
  <si>
    <t xml:space="preserve">CH-12</t>
  </si>
  <si>
    <t xml:space="preserve">Circuit de chauffage (desembouage)</t>
  </si>
  <si>
    <t xml:space="preserve">Tous les 8-10 ans recommandé</t>
  </si>
  <si>
    <t xml:space="preserve">Pro</t>
  </si>
  <si>
    <t xml:space="preserve">Facture / rapport</t>
  </si>
  <si>
    <t xml:space="preserve">600-1200 EUR</t>
  </si>
  <si>
    <t xml:space="preserve">Boues = perte de rendement jusqu'à 15%, casse du circulateur</t>
  </si>
  <si>
    <t xml:space="preserve">Photographier la facture du dernier desembouage</t>
  </si>
  <si>
    <t xml:space="preserve">CH-13</t>
  </si>
  <si>
    <t xml:space="preserve">Plancher chauffant hydraulique</t>
  </si>
  <si>
    <t xml:space="preserve">40-50 ans</t>
  </si>
  <si>
    <t xml:space="preserve">Contrôle collecteur annuel ; desembouage 10 ans</t>
  </si>
  <si>
    <t xml:space="preserve">Particulier + Pro</t>
  </si>
  <si>
    <t xml:space="preserve">Zones froides, colmatage des boucles</t>
  </si>
  <si>
    <t xml:space="preserve">Étiquette sur le collecteur (pas systématique)</t>
  </si>
  <si>
    <t xml:space="preserve">Fabricant du collecteur, nombre de boucles</t>
  </si>
  <si>
    <t xml:space="preserve">Plan de pose si disponible</t>
  </si>
  <si>
    <t xml:space="preserve">CH-14</t>
  </si>
  <si>
    <t xml:space="preserve">Radiateur électrique / convecteur</t>
  </si>
  <si>
    <t xml:space="preserve">Dépoussiérage annuel</t>
  </si>
  <si>
    <t xml:space="preserve">Surconsommation, odeurs de brûlé, risque incendie sur poussière</t>
  </si>
  <si>
    <t xml:space="preserve">Au dos ou sur le flanc de l'appareil</t>
  </si>
  <si>
    <t xml:space="preserve">Marque, modèle, puissance (W)</t>
  </si>
  <si>
    <t xml:space="preserve">CH-15</t>
  </si>
  <si>
    <t xml:space="preserve">Cuve à fioul</t>
  </si>
  <si>
    <t xml:space="preserve">25-30 ans</t>
  </si>
  <si>
    <t xml:space="preserve">Selon cas</t>
  </si>
  <si>
    <t xml:space="preserve">Arrêté du 01/07/2004 (stockage produits pétroliers)</t>
  </si>
  <si>
    <t xml:space="preserve">Contrôle d'étanchéité et nettoyage tous les 5-10 ans</t>
  </si>
  <si>
    <t xml:space="preserve">Rapport de contrôle</t>
  </si>
  <si>
    <t xml:space="preserve">300-600 EUR</t>
  </si>
  <si>
    <t xml:space="preserve">Pollution des sols, depollution à la charge du propriétaire</t>
  </si>
  <si>
    <t xml:space="preserve">Sur le trou d'homme ou le flanc de la cuve</t>
  </si>
  <si>
    <t xml:space="preserve">Fabricant, capacité (L), année, simple ou double paroi</t>
  </si>
  <si>
    <t xml:space="preserve">CH-16</t>
  </si>
  <si>
    <t xml:space="preserve">Citerne GPL / propane</t>
  </si>
  <si>
    <t xml:space="preserve">Oui (via contrat)</t>
  </si>
  <si>
    <t xml:space="preserve">Arrêté du 30/07/1979 modifié</t>
  </si>
  <si>
    <t xml:space="preserve">Contrôle périodique par le distributeur (voir contrat)</t>
  </si>
  <si>
    <t xml:space="preserve">Distributeur agréé</t>
  </si>
  <si>
    <t xml:space="preserve">Rapport du distributeur</t>
  </si>
  <si>
    <t xml:space="preserve">Inclus au contrat</t>
  </si>
  <si>
    <t xml:space="preserve">Risque d'explosion, résiliation du contrat de fourniture</t>
  </si>
  <si>
    <t xml:space="preserve">Sur la citerne, près du capot</t>
  </si>
  <si>
    <t xml:space="preserve">N. de citerne, capacité, distributeur, date d'épreuve</t>
  </si>
  <si>
    <t xml:space="preserve">Contrat du distributeur</t>
  </si>
  <si>
    <t xml:space="preserve">CH-17</t>
  </si>
  <si>
    <t xml:space="preserve">Thermostat / régulation connectée</t>
  </si>
  <si>
    <t xml:space="preserve">10-15 ans</t>
  </si>
  <si>
    <t xml:space="preserve">Piles annuelles, mise à jour firmware</t>
  </si>
  <si>
    <t xml:space="preserve">Dérive de température, surconsommation</t>
  </si>
  <si>
    <t xml:space="preserve">Au dos, en le declipsant de son socle</t>
  </si>
  <si>
    <t xml:space="preserve">Marque, modèle, référence</t>
  </si>
  <si>
    <t xml:space="preserve">Application connectée si disponible</t>
  </si>
  <si>
    <t xml:space="preserve">ECS-01</t>
  </si>
  <si>
    <t xml:space="preserve">Eau chaude</t>
  </si>
  <si>
    <t xml:space="preserve">Chauffe-eau électrique (cumulus)</t>
  </si>
  <si>
    <t xml:space="preserve">Groupe de sécurité mensuel ; détartrage + anode tous les 2 ans</t>
  </si>
  <si>
    <t xml:space="preserve">Facture de détartrage</t>
  </si>
  <si>
    <t xml:space="preserve">Tartre = +30% de conso ; anode usée = percement de la cuve</t>
  </si>
  <si>
    <t xml:space="preserve">Sur l'enveloppe du ballon, souvent près du capot électrique en partie basse</t>
  </si>
  <si>
    <t xml:space="preserve">Marque, modèle, capacité (L), puissance (W), n. de série, date de fabrication</t>
  </si>
  <si>
    <t xml:space="preserve">ECS-02</t>
  </si>
  <si>
    <t xml:space="preserve">Chauffe-eau thermodynamique</t>
  </si>
  <si>
    <t xml:space="preserve">Encrassement de l'evaporateur, bascule permanente sur résistance</t>
  </si>
  <si>
    <t xml:space="preserve">Flanc ou arrière de l'appareil</t>
  </si>
  <si>
    <t xml:space="preserve">ECS-03</t>
  </si>
  <si>
    <t xml:space="preserve">Chauffe-eau gaz / chauffe-bain</t>
  </si>
  <si>
    <t xml:space="preserve">Décret 2009-649</t>
  </si>
  <si>
    <t xml:space="preserve">100-160 EUR</t>
  </si>
  <si>
    <t xml:space="preserve">Intoxication au CO</t>
  </si>
  <si>
    <t xml:space="preserve">Sous l'appareil ou derrière le capot avant</t>
  </si>
  <si>
    <t xml:space="preserve">Marque, modèle, n. de série, puissance (kW), type de gaz</t>
  </si>
  <si>
    <t xml:space="preserve">ECS-04</t>
  </si>
  <si>
    <t xml:space="preserve">Chauffe-eau solaire (CESI)</t>
  </si>
  <si>
    <t xml:space="preserve">Contrôle annuel (glycol, pression, sonde)</t>
  </si>
  <si>
    <t xml:space="preserve">Rapport d'intervention</t>
  </si>
  <si>
    <t xml:space="preserve">Glycol dégradé = corrosion du capteur, surchauffe estivale</t>
  </si>
  <si>
    <t xml:space="preserve">Ballon : sur l'enveloppe. Capteurs : étiquette au dos, inaccessible une fois poses</t>
  </si>
  <si>
    <t xml:space="preserve">Fabricant, capacité du ballon, surface de capteurs</t>
  </si>
  <si>
    <t xml:space="preserve">Dossier d'installation</t>
  </si>
  <si>
    <t xml:space="preserve">ECS-05</t>
  </si>
  <si>
    <t xml:space="preserve">Groupe de sécurité</t>
  </si>
  <si>
    <t xml:space="preserve">5-7 ans</t>
  </si>
  <si>
    <t xml:space="preserve">Manœuvre mensuelle ; remplacement 5 ans</t>
  </si>
  <si>
    <t xml:space="preserve">80-150 EUR pose</t>
  </si>
  <si>
    <t xml:space="preserve">Blocage = surpression et éclatement du ballon</t>
  </si>
  <si>
    <t xml:space="preserve">Marquage gravé sur le corps</t>
  </si>
  <si>
    <t xml:space="preserve">Marque, pression de tarage</t>
  </si>
  <si>
    <t xml:space="preserve">Suffisant pour commander le remplacement</t>
  </si>
  <si>
    <t xml:space="preserve">ECS-06</t>
  </si>
  <si>
    <t xml:space="preserve">Adoucisseur d'eau</t>
  </si>
  <si>
    <t xml:space="preserve">Sel mensuel ; désinfection annuelle ; contrôle pro tous les 2 ans</t>
  </si>
  <si>
    <t xml:space="preserve">Bac à sel colmaté, eau non adoucie, prolifération bactérienne</t>
  </si>
  <si>
    <t xml:space="preserve">Au dos de la tête de commande ou sur le bac</t>
  </si>
  <si>
    <t xml:space="preserve">Marque, modèle, volume de résine, n. de série</t>
  </si>
  <si>
    <t xml:space="preserve">CLIM-01</t>
  </si>
  <si>
    <t xml:space="preserve">Climatisation</t>
  </si>
  <si>
    <t xml:space="preserve">Climatiseur split / multisplit</t>
  </si>
  <si>
    <t xml:space="preserve">Pro avec attestation de capacité fluides</t>
  </si>
  <si>
    <t xml:space="preserve">Développement bactérien, perte de froid, fuite de fluide (fort PRG)</t>
  </si>
  <si>
    <t xml:space="preserve">CLIM-02</t>
  </si>
  <si>
    <t xml:space="preserve">Climatiseur mobile</t>
  </si>
  <si>
    <t xml:space="preserve">8-10 ans</t>
  </si>
  <si>
    <t xml:space="preserve">Nettoyage des filtres mensuel en saison</t>
  </si>
  <si>
    <t xml:space="preserve">Débit d'air réduit, odeurs, surconsommation</t>
  </si>
  <si>
    <t xml:space="preserve">Au dos de l'appareil</t>
  </si>
  <si>
    <t xml:space="preserve">Marque, modèle, puissance, type de fluide</t>
  </si>
  <si>
    <t xml:space="preserve">CLIM-03</t>
  </si>
  <si>
    <t xml:space="preserve">Circuit frigorifique &gt;= 5 t CO2 eq</t>
  </si>
  <si>
    <t xml:space="preserve">Règlement (UE) 2024/573 (F-Gas), applicable depuis le 11/03/2024</t>
  </si>
  <si>
    <t xml:space="preserve">Contrôle d'étanchéité tous les 12 mois (5 à 50 t CO2 eq)</t>
  </si>
  <si>
    <t xml:space="preserve">Opérateur certifié (attestation de capacité)</t>
  </si>
  <si>
    <t xml:space="preserve">Fiche d'intervention CERFA 15497</t>
  </si>
  <si>
    <t xml:space="preserve">150-300 EUR</t>
  </si>
  <si>
    <t xml:space="preserve">Sanction administrative, impact climatique majeur</t>
  </si>
  <si>
    <t xml:space="preserve">Étiquette fluide sur l'unité extérieure (étiquetage imposé par la réglementation F-Gas)</t>
  </si>
  <si>
    <t xml:space="preserve">Type de fluide, charge en kg et en t eq. CO2, mention hermétiquement scellé</t>
  </si>
  <si>
    <t xml:space="preserve">VENT-01</t>
  </si>
  <si>
    <t xml:space="preserve">Ventilation</t>
  </si>
  <si>
    <t xml:space="preserve">VMC simple flux</t>
  </si>
  <si>
    <t xml:space="preserve">Non (individuel)</t>
  </si>
  <si>
    <t xml:space="preserve">Bouches tous les 6 mois ; caisson annuel</t>
  </si>
  <si>
    <t xml:space="preserve">0-120 EUR</t>
  </si>
  <si>
    <t xml:space="preserve">Condensation, moisissures, dégradation du bâti</t>
  </si>
  <si>
    <t xml:space="preserve">Sur le caisson moteur, généralement dans les combles</t>
  </si>
  <si>
    <t xml:space="preserve">Marque, modèle, type (autoreglable ou hygroreglable)</t>
  </si>
  <si>
    <t xml:space="preserve">Le type conditionné les bouches de remplacement</t>
  </si>
  <si>
    <t xml:space="preserve">VENT-02</t>
  </si>
  <si>
    <t xml:space="preserve">VMC double flux</t>
  </si>
  <si>
    <t xml:space="preserve">Filtres tous les 3-6 mois ; échangeur annuel</t>
  </si>
  <si>
    <t xml:space="preserve">40-80 EUR de filtres/an</t>
  </si>
  <si>
    <t xml:space="preserve">Filtres saturés = débit nul, perte du rendement de récupération</t>
  </si>
  <si>
    <t xml:space="preserve">Sur la centrale, souvent près de la trappe d'accès aux filtres</t>
  </si>
  <si>
    <t xml:space="preserve">Marque, modèle, références des filtres</t>
  </si>
  <si>
    <t xml:space="preserve">Photographier aussi l'étiquette du filtre en place</t>
  </si>
  <si>
    <t xml:space="preserve">VENT-03</t>
  </si>
  <si>
    <t xml:space="preserve">Hotte aspirante</t>
  </si>
  <si>
    <t xml:space="preserve">Filtre à graisse mensuel ; filtre charbon tous les 6 mois</t>
  </si>
  <si>
    <t xml:space="preserve">20-40 EUR</t>
  </si>
  <si>
    <t xml:space="preserve">Risque d'incendie par accumulation de graisse, aspiration nulle</t>
  </si>
  <si>
    <t xml:space="preserve">À l'intérieur de la hotte, derrière les filtres à graisse</t>
  </si>
  <si>
    <t xml:space="preserve">Marque, modèle, n. de série, références des filtres</t>
  </si>
  <si>
    <t xml:space="preserve">VENT-04</t>
  </si>
  <si>
    <t xml:space="preserve">Grilles et entrées d'air</t>
  </si>
  <si>
    <t xml:space="preserve">30 ans</t>
  </si>
  <si>
    <t xml:space="preserve">Nettoyage semestriel</t>
  </si>
  <si>
    <t xml:space="preserve">Déficit d'air neuf, mauvais tirage des appareils à combustion</t>
  </si>
  <si>
    <t xml:space="preserve">VENT-05</t>
  </si>
  <si>
    <t xml:space="preserve">Puits canadien / provençal</t>
  </si>
  <si>
    <t xml:space="preserve">Contrôle annuel du siphon et du filtre</t>
  </si>
  <si>
    <t xml:space="preserve">100-200 EUR</t>
  </si>
  <si>
    <t xml:space="preserve">Stagnation d'eau, qualité d'air dégradée</t>
  </si>
  <si>
    <t xml:space="preserve">Pas de plaque standard</t>
  </si>
  <si>
    <t xml:space="preserve">FROID-01</t>
  </si>
  <si>
    <t xml:space="preserve">Froid</t>
  </si>
  <si>
    <t xml:space="preserve">Réfrigérateur</t>
  </si>
  <si>
    <t xml:space="preserve">Grille/condenseur tous les 6 mois ; joints ; dégivrage</t>
  </si>
  <si>
    <t xml:space="preserve">Condenseur empoussiere = +25% de conso, compresseur en surchauffe</t>
  </si>
  <si>
    <t xml:space="preserve">Paroi intérieure du compartiment réfrigérateur, sur le côté ou derrière le bac à légumes</t>
  </si>
  <si>
    <t xml:space="preserve">Marque, modèle, n. de série, classe énergétique, fluide</t>
  </si>
  <si>
    <t xml:space="preserve">Une étiquette extérieure peut porter un numéro de contrôle usine et non le n. de série</t>
  </si>
  <si>
    <t xml:space="preserve">FROID-02</t>
  </si>
  <si>
    <t xml:space="preserve">Congélateur</t>
  </si>
  <si>
    <t xml:space="preserve">12-18 ans</t>
  </si>
  <si>
    <t xml:space="preserve">Dégivrage annuel ; joints</t>
  </si>
  <si>
    <t xml:space="preserve">3 mm de givre = +30% de conso</t>
  </si>
  <si>
    <t xml:space="preserve">Paroi intérieure ; coffre : au dos ou sous le couvercle</t>
  </si>
  <si>
    <t xml:space="preserve">Marque, modèle, n. de série, classe énergétique</t>
  </si>
  <si>
    <t xml:space="preserve">FROID-03</t>
  </si>
  <si>
    <t xml:space="preserve">Réfrigérateur américain (distributeur eau/glace)</t>
  </si>
  <si>
    <t xml:space="preserve">10-12 ans</t>
  </si>
  <si>
    <t xml:space="preserve">Filtre à eau tous les 6 mois</t>
  </si>
  <si>
    <t xml:space="preserve">30-60 EUR le filtre</t>
  </si>
  <si>
    <t xml:space="preserve">Goût désagréable, contamination bactérienne du circuit</t>
  </si>
  <si>
    <t xml:space="preserve">Paroi intérieure du compartiment réfrigérateur, en haut ou sur le côté</t>
  </si>
  <si>
    <t xml:space="preserve">Marque, modèle, n. de série, référence du filtre à eau</t>
  </si>
  <si>
    <t xml:space="preserve">FROID-04</t>
  </si>
  <si>
    <t xml:space="preserve">Cave à vin</t>
  </si>
  <si>
    <t xml:space="preserve">Filtre à charbon annuel ; nettoyage du bac</t>
  </si>
  <si>
    <t xml:space="preserve">15-30 EUR</t>
  </si>
  <si>
    <t xml:space="preserve">Hygrometrie instable, bouchons desséchés</t>
  </si>
  <si>
    <t xml:space="preserve">Paroi intérieure, en partie basse</t>
  </si>
  <si>
    <t xml:space="preserve">Marque, modèle, n. de série</t>
  </si>
  <si>
    <t xml:space="preserve">LAV-01</t>
  </si>
  <si>
    <t xml:space="preserve">Lavage</t>
  </si>
  <si>
    <t xml:space="preserve">Lave-linge</t>
  </si>
  <si>
    <t xml:space="preserve">Filtre de vidange trimestriel ; joint mensuel ; détartrage semestriel ; tuyau tous les 5 ans</t>
  </si>
  <si>
    <t xml:space="preserve">0-30 EUR</t>
  </si>
  <si>
    <t xml:space="preserve">Dégât des eaux (1re cause de sinistre domestique), moisissures, panne de pompe</t>
  </si>
  <si>
    <t xml:space="preserve">Frontal : cadre du hublot, visible porte ouverte (souvent en haut) ; sinon trappe du filtre ou dos. Top : sous le couvercle ou au dos</t>
  </si>
  <si>
    <t xml:space="preserve">Marque, modèle, n. de série, code service ou PNC selon la marque, date de fabrication</t>
  </si>
  <si>
    <t xml:space="preserve">Emplacement et identifiant adaptés à la marque : voir onglet Plaques par marque</t>
  </si>
  <si>
    <t xml:space="preserve">LAV-02</t>
  </si>
  <si>
    <t xml:space="preserve">Sèche-linge (condensation ou PAC)</t>
  </si>
  <si>
    <t xml:space="preserve">Filtre à chaque cycle ; condenseur mensuel ; filtre PAC trimestriel</t>
  </si>
  <si>
    <t xml:space="preserve">Risque d'incendie par peluches, temps de séchage double</t>
  </si>
  <si>
    <t xml:space="preserve">Cadre de la porte, visible porte ouverte</t>
  </si>
  <si>
    <t xml:space="preserve">Marque, modèle, n. de série, type (condensation ou PAC), fluide si PAC</t>
  </si>
  <si>
    <t xml:space="preserve">LAV-03</t>
  </si>
  <si>
    <t xml:space="preserve">Lave-vaisselle</t>
  </si>
  <si>
    <t xml:space="preserve">Filtre mensuel ; bras de lavage trimestriel ; sel et liquide de rinçage ; détartrage semestriel</t>
  </si>
  <si>
    <t xml:space="preserve">0-20 EUR</t>
  </si>
  <si>
    <t xml:space="preserve">Mauvaises odeurs, vaisselle mal lavée, pompe bloquée</t>
  </si>
  <si>
    <t xml:space="preserve">Chant de la porte (côté ou dessus), visible porte ouverte</t>
  </si>
  <si>
    <t xml:space="preserve">Marque, modèle, n. de série, code service selon la marque</t>
  </si>
  <si>
    <t xml:space="preserve">LAV-04</t>
  </si>
  <si>
    <t xml:space="preserve">Lave-linge séchant</t>
  </si>
  <si>
    <t xml:space="preserve">Cumul des entretiens lave-linge et sèche-linge</t>
  </si>
  <si>
    <t xml:space="preserve">Usure accélérée, condenseur colmaté</t>
  </si>
  <si>
    <t xml:space="preserve">Cadre du hublot, visible porte ouverte</t>
  </si>
  <si>
    <t xml:space="preserve">CUIS-01</t>
  </si>
  <si>
    <t xml:space="preserve">Cuisson</t>
  </si>
  <si>
    <t xml:space="preserve">Four (pyrolyse / catalyse)</t>
  </si>
  <si>
    <t xml:space="preserve">Pyrolyse trimestrielle ; joint de porte contrôle annuel</t>
  </si>
  <si>
    <t xml:space="preserve">Joint usé = perte de chaleur, cuissons irrégulières</t>
  </si>
  <si>
    <t xml:space="preserve">Cadre du four, visible porte ouverte ; sinon derrière le tiroir inférieur</t>
  </si>
  <si>
    <t xml:space="preserve">Marque, modèle, n. de série, puissance</t>
  </si>
  <si>
    <t xml:space="preserve">CUIS-02</t>
  </si>
  <si>
    <t xml:space="preserve">Plaque à induction</t>
  </si>
  <si>
    <t xml:space="preserve">Nettoyage après usage ; grille de ventilation tous les 6 mois</t>
  </si>
  <si>
    <t xml:space="preserve">Surchauffe de l'électronique, coupures en cours de cuisson</t>
  </si>
  <si>
    <t xml:space="preserve">Sous la table, inaccessible une fois encastrée</t>
  </si>
  <si>
    <t xml:space="preserve">Chercher la 2e étiquette fournie avec la notice, ou photographier la facture</t>
  </si>
  <si>
    <t xml:space="preserve">CUIS-03</t>
  </si>
  <si>
    <t xml:space="preserve">Plaque / cuisinière gaz</t>
  </si>
  <si>
    <t xml:space="preserve">Nettoyage des injecteurs annuel ; contrôle du flexible</t>
  </si>
  <si>
    <t xml:space="preserve">Flamme jaune = mauvaise combustion et CO</t>
  </si>
  <si>
    <t xml:space="preserve">Sous la table</t>
  </si>
  <si>
    <t xml:space="preserve">Marque, modèle, type de gaz</t>
  </si>
  <si>
    <t xml:space="preserve">Notice ou facture</t>
  </si>
  <si>
    <t xml:space="preserve">CUIS-04</t>
  </si>
  <si>
    <t xml:space="preserve">Tuyau flexible gaz</t>
  </si>
  <si>
    <t xml:space="preserve">5-10 ans (date imprimée)</t>
  </si>
  <si>
    <t xml:space="preserve">Oui (implicite)</t>
  </si>
  <si>
    <t xml:space="preserve">Arrêté du 02/08/1977 modifié ; NF D 36-100 / 36-103</t>
  </si>
  <si>
    <t xml:space="preserve">Remplacement impératif à la date de péremption imprimée</t>
  </si>
  <si>
    <t xml:space="preserve">Date visible sur le flexible</t>
  </si>
  <si>
    <t xml:space="preserve">15-40 EUR</t>
  </si>
  <si>
    <t xml:space="preserve">Fuite de gaz, explosion, non-couverture assurance</t>
  </si>
  <si>
    <t xml:space="preserve">Étiquette datée</t>
  </si>
  <si>
    <t xml:space="preserve">Marquage imprimé sur la bague ou le tuyau</t>
  </si>
  <si>
    <t xml:space="preserve">Date limite d'utilisation, norme NF D 36-100 / 36-103</t>
  </si>
  <si>
    <t xml:space="preserve">La photo lit la date de péremption : rappel créé automatiquement</t>
  </si>
  <si>
    <t xml:space="preserve">CUIS-05</t>
  </si>
  <si>
    <t xml:space="preserve">Four à micro-ondes</t>
  </si>
  <si>
    <t xml:space="preserve">Nettoyage hebdomadaire ; contrôle du joint de porte annuel</t>
  </si>
  <si>
    <t xml:space="preserve">Fuite de micro-ondes si le joint est abîmé</t>
  </si>
  <si>
    <t xml:space="preserve">Cadre de la porte ou au dos</t>
  </si>
  <si>
    <t xml:space="preserve">CUIS-06</t>
  </si>
  <si>
    <t xml:space="preserve">Machine à café / expresso</t>
  </si>
  <si>
    <t xml:space="preserve">5-10 ans</t>
  </si>
  <si>
    <t xml:space="preserve">Détartrage tous les 1-3 mois selon dureté de l'eau</t>
  </si>
  <si>
    <t xml:space="preserve">10-20 EUR</t>
  </si>
  <si>
    <t xml:space="preserve">Entartrage = panne de pompe, cause n.1 de mise au rebut</t>
  </si>
  <si>
    <t xml:space="preserve">Sous l'appareil ou derrière le réservoir d'eau</t>
  </si>
  <si>
    <t xml:space="preserve">PEM-01</t>
  </si>
  <si>
    <t xml:space="preserve">Aspirateur traîneau / balai</t>
  </si>
  <si>
    <t xml:space="preserve">6-10 ans</t>
  </si>
  <si>
    <t xml:space="preserve">Bac après usage ; filtre HEPA tous les 6 mois</t>
  </si>
  <si>
    <t xml:space="preserve">Perte d'aspiration, surchauffe du moteur</t>
  </si>
  <si>
    <t xml:space="preserve">Sous l'appareil ou dans le compartiment à poussière</t>
  </si>
  <si>
    <t xml:space="preserve">Marque, modèle, référence du filtre</t>
  </si>
  <si>
    <t xml:space="preserve">PEM-02</t>
  </si>
  <si>
    <t xml:space="preserve">Robot aspirateur</t>
  </si>
  <si>
    <t xml:space="preserve">4-6 ans</t>
  </si>
  <si>
    <t xml:space="preserve">Brosses et capteurs mensuels ; filtre trimestriel ; batterie 2-3 ans</t>
  </si>
  <si>
    <t xml:space="preserve">20-50 EUR</t>
  </si>
  <si>
    <t xml:space="preserve">Cheveux enroulés = moteur forcé, navigation erratique</t>
  </si>
  <si>
    <t xml:space="preserve">Sous le robot, souvent près de la batterie</t>
  </si>
  <si>
    <t xml:space="preserve">Aussi visible dans l'application du fabricant</t>
  </si>
  <si>
    <t xml:space="preserve">PEM-03</t>
  </si>
  <si>
    <t xml:space="preserve">Purificateur d'air</t>
  </si>
  <si>
    <t xml:space="preserve">7-10 ans</t>
  </si>
  <si>
    <t xml:space="preserve">Filtres tous les 6-12 mois</t>
  </si>
  <si>
    <t xml:space="preserve">40-90 EUR</t>
  </si>
  <si>
    <t xml:space="preserve">Filtre saturé = rejet de particules accumulées</t>
  </si>
  <si>
    <t xml:space="preserve">Au dos ou sous l'appareil</t>
  </si>
  <si>
    <t xml:space="preserve">Marque, modèle, référence des filtres</t>
  </si>
  <si>
    <t xml:space="preserve">PEM-04</t>
  </si>
  <si>
    <t xml:space="preserve">Deshumidificateur</t>
  </si>
  <si>
    <t xml:space="preserve">Réservoir et filtre mensuels</t>
  </si>
  <si>
    <t xml:space="preserve">Développement bactérien dans le bac</t>
  </si>
  <si>
    <t xml:space="preserve">Marque, modèle, type de fluide</t>
  </si>
  <si>
    <t xml:space="preserve">PEM-05</t>
  </si>
  <si>
    <t xml:space="preserve">Fer / centrale vapeur</t>
  </si>
  <si>
    <t xml:space="preserve">5-8 ans</t>
  </si>
  <si>
    <t xml:space="preserve">Détartrage tous les 1-3 mois</t>
  </si>
  <si>
    <t xml:space="preserve">5-15 EUR</t>
  </si>
  <si>
    <t xml:space="preserve">Projection de calcaire sur le linge, panne de chaudière</t>
  </si>
  <si>
    <t xml:space="preserve">Sous la base ou la station</t>
  </si>
  <si>
    <t xml:space="preserve">Marque, modèle</t>
  </si>
  <si>
    <t xml:space="preserve">EAU-01</t>
  </si>
  <si>
    <t xml:space="preserve">Eau</t>
  </si>
  <si>
    <t xml:space="preserve">Réseau de plomberie et robinetterie</t>
  </si>
  <si>
    <t xml:space="preserve">Mousseurs tous les 6 mois ; recherche de fuite annuelle</t>
  </si>
  <si>
    <t xml:space="preserve">Une fuite de chasse d'eau = jusqu'à 200 m3/an perdus</t>
  </si>
  <si>
    <t xml:space="preserve">EAU-02</t>
  </si>
  <si>
    <t xml:space="preserve">Compteur d'eau</t>
  </si>
  <si>
    <t xml:space="preserve">15 ans</t>
  </si>
  <si>
    <t xml:space="preserve">Relevé mensuel pour détecter les fuites</t>
  </si>
  <si>
    <t xml:space="preserve">Fuite invisible facturée au plein tarif</t>
  </si>
  <si>
    <t xml:space="preserve">Cadran du compteur</t>
  </si>
  <si>
    <t xml:space="preserve">N. du compteur, index</t>
  </si>
  <si>
    <t xml:space="preserve">La photo relève l'index : suivi mensuel de consommation</t>
  </si>
  <si>
    <t xml:space="preserve">EAU-03</t>
  </si>
  <si>
    <t xml:space="preserve">Disconnecteur / clapet anti-retour</t>
  </si>
  <si>
    <t xml:space="preserve">Arrêté du 17/03/2004 (protection des réseaux d'eau potable)</t>
  </si>
  <si>
    <t xml:space="preserve">Contrôle annuel si arrosage ou récupérateur relié au réseau</t>
  </si>
  <si>
    <t xml:space="preserve">Retour d'eau polluée dans le réseau public, responsabilité engagée</t>
  </si>
  <si>
    <t xml:space="preserve">Marquage sur le corps</t>
  </si>
  <si>
    <t xml:space="preserve">Marque, type (BA, CA, EA)</t>
  </si>
  <si>
    <t xml:space="preserve">EAU-04</t>
  </si>
  <si>
    <t xml:space="preserve">Pompe de relevage</t>
  </si>
  <si>
    <t xml:space="preserve">8-12 ans</t>
  </si>
  <si>
    <t xml:space="preserve">Contrôle annuel du flotteur et du clapet</t>
  </si>
  <si>
    <t xml:space="preserve">Particulier ou Pro</t>
  </si>
  <si>
    <t xml:space="preserve">Inondation du sous-sol</t>
  </si>
  <si>
    <t xml:space="preserve">Sur le corps ou le moteur de la pompe</t>
  </si>
  <si>
    <t xml:space="preserve">Marque, modèle, puissance</t>
  </si>
  <si>
    <t xml:space="preserve">EAU-05</t>
  </si>
  <si>
    <t xml:space="preserve">Puits / forage domestique</t>
  </si>
  <si>
    <t xml:space="preserve">Oui (déclaration)</t>
  </si>
  <si>
    <t xml:space="preserve">Art. L2224-9 CGCT ; décret 2008-652</t>
  </si>
  <si>
    <t xml:space="preserve">Déclaration obligatoire en mairie ; contrôle si relié au réseau</t>
  </si>
  <si>
    <t xml:space="preserve">Mairie / service des eaux</t>
  </si>
  <si>
    <t xml:space="preserve">Récépissé de déclaration</t>
  </si>
  <si>
    <t xml:space="preserve">Amende, mise en demeure de déconnexion</t>
  </si>
  <si>
    <t xml:space="preserve">Photographier le récépissé de déclaration en mairie</t>
  </si>
  <si>
    <t xml:space="preserve">EAU-06</t>
  </si>
  <si>
    <t xml:space="preserve">Récupérateur d'eau de pluie</t>
  </si>
  <si>
    <t xml:space="preserve">Arrêté du 21/08/2008 (usages intérieurs)</t>
  </si>
  <si>
    <t xml:space="preserve">Filtre tous les 6 mois ; cuve annuelle ; carnet sanitaire si usage intérieur</t>
  </si>
  <si>
    <t xml:space="preserve">Carnet sanitaire</t>
  </si>
  <si>
    <t xml:space="preserve">0-100 EUR</t>
  </si>
  <si>
    <t xml:space="preserve">Contamination du réseau, non-conformité en cas de contrôle</t>
  </si>
  <si>
    <t xml:space="preserve">Étiquette sur la cuve, souvent près du trou d'homme</t>
  </si>
  <si>
    <t xml:space="preserve">Fabricant, capacité (L)</t>
  </si>
  <si>
    <t xml:space="preserve">EAU-07</t>
  </si>
  <si>
    <t xml:space="preserve">Surpresseur</t>
  </si>
  <si>
    <t xml:space="preserve">Contrôle de la pression du vase annuel</t>
  </si>
  <si>
    <t xml:space="preserve">Cycles courts = usure rapide de la pompe</t>
  </si>
  <si>
    <t xml:space="preserve">Sur le moteur de la pompe</t>
  </si>
  <si>
    <t xml:space="preserve">Marque, modèle, puissance, capacité du vase</t>
  </si>
  <si>
    <t xml:space="preserve">EAU-08</t>
  </si>
  <si>
    <t xml:space="preserve">Ballon tampon / hydroaccumulation</t>
  </si>
  <si>
    <t xml:space="preserve">Contrôle de la pression et de l'anode tous les 2 ans</t>
  </si>
  <si>
    <t xml:space="preserve">100-150 EUR</t>
  </si>
  <si>
    <t xml:space="preserve">Corrosion interne, perte de stratification</t>
  </si>
  <si>
    <t xml:space="preserve">Sur l'enveloppe du ballon</t>
  </si>
  <si>
    <t xml:space="preserve">Fabricant, capacité (L), pression maximale</t>
  </si>
  <si>
    <t xml:space="preserve">ASS-01</t>
  </si>
  <si>
    <t xml:space="preserve">Assainissement</t>
  </si>
  <si>
    <t xml:space="preserve">Fosse toutes eaux / fosse septique</t>
  </si>
  <si>
    <t xml:space="preserve">30-40 ans</t>
  </si>
  <si>
    <t xml:space="preserve">CSP art. L1331-1-1 ; arrêté du 27/04/2012</t>
  </si>
  <si>
    <t xml:space="preserve">Contrôle SPANC au moins tous les 10 ans ; vidange à 50% de boues (environ 4 ans)</t>
  </si>
  <si>
    <t xml:space="preserve">Vidangeur agréé + SPANC</t>
  </si>
  <si>
    <t xml:space="preserve">Bordereau de suivi de vidange + rapport SPANC</t>
  </si>
  <si>
    <t xml:space="preserve">250-400 EUR</t>
  </si>
  <si>
    <t xml:space="preserve">Non-conformité, travaux imposés, majoration de redevance, blocage à la vente</t>
  </si>
  <si>
    <t xml:space="preserve">Photographier le rapport SPANC et le dernier bordereau de vidange</t>
  </si>
  <si>
    <t xml:space="preserve">ASS-02</t>
  </si>
  <si>
    <t xml:space="preserve">Micro-station d'épuration</t>
  </si>
  <si>
    <t xml:space="preserve">Contrat de maintenance annuel ; vidange selon taux de boues (6-12 mois de contrôle)</t>
  </si>
  <si>
    <t xml:space="preserve">Pro agréé</t>
  </si>
  <si>
    <t xml:space="preserve">Contrat + bordereau de vidange</t>
  </si>
  <si>
    <t xml:space="preserve">150-300 EUR/an</t>
  </si>
  <si>
    <t xml:space="preserve">Arrêt de la biomasse epuratoire, rejets non conformes</t>
  </si>
  <si>
    <t xml:space="preserve">Étiquette sur la cuve ou sur le surpresseur</t>
  </si>
  <si>
    <t xml:space="preserve">Fabricant, modèle, capacité (EH), n. d'agrément</t>
  </si>
  <si>
    <t xml:space="preserve">Le n. d'agrément ministériel est demandé par le SPANC</t>
  </si>
  <si>
    <t xml:space="preserve">ASS-03</t>
  </si>
  <si>
    <t xml:space="preserve">Bac à graisse</t>
  </si>
  <si>
    <t xml:space="preserve">Nettoyage tous les 6 mois</t>
  </si>
  <si>
    <t xml:space="preserve">Colmatage de l'épandage, odeurs</t>
  </si>
  <si>
    <t xml:space="preserve">ASS-04</t>
  </si>
  <si>
    <t xml:space="preserve">Prefiltre / filtre à sable</t>
  </si>
  <si>
    <t xml:space="preserve">Nettoyage tous les 6 mois ; contrôle du sable tous les 10 ans</t>
  </si>
  <si>
    <t xml:space="preserve">Colmatage, remontées d'eaux usées</t>
  </si>
  <si>
    <t xml:space="preserve">ASS-05</t>
  </si>
  <si>
    <t xml:space="preserve">Canalisations EU / EV</t>
  </si>
  <si>
    <t xml:space="preserve">50 ans</t>
  </si>
  <si>
    <t xml:space="preserve">Curage préventif tous les 2-3 ans</t>
  </si>
  <si>
    <t xml:space="preserve">Facture</t>
  </si>
  <si>
    <t xml:space="preserve">Bouchon, refoulement, dégât des eaux</t>
  </si>
  <si>
    <t xml:space="preserve">ENE-01</t>
  </si>
  <si>
    <t xml:space="preserve">Panneaux photovoltaiques</t>
  </si>
  <si>
    <t xml:space="preserve">Contrôle visuel tous les 6 mois ; nettoyage tous les 1-2 ans ; contrôle pro tous les 2-4 ans</t>
  </si>
  <si>
    <t xml:space="preserve">Salissures = -5 à -15% de production ; point chaud non détecté = risque incendie</t>
  </si>
  <si>
    <t xml:space="preserve">Étiquette au dos de chaque module, inaccessible une fois pose</t>
  </si>
  <si>
    <t xml:space="preserve">Marque, modèle, puissance crête (Wc)</t>
  </si>
  <si>
    <t xml:space="preserve">Dossier d'installation ou attestation Consuel</t>
  </si>
  <si>
    <t xml:space="preserve">ENE-02</t>
  </si>
  <si>
    <t xml:space="preserve">Onduleur photovoltaique</t>
  </si>
  <si>
    <t xml:space="preserve">Suivi de production mensuel ; dépoussiérage annuel</t>
  </si>
  <si>
    <t xml:space="preserve">Sous-production non détectée pendant des mois</t>
  </si>
  <si>
    <t xml:space="preserve">Sur le flanc du boîtier</t>
  </si>
  <si>
    <t xml:space="preserve">Aussi visible dans l'application de monitoring</t>
  </si>
  <si>
    <t xml:space="preserve">ENE-03</t>
  </si>
  <si>
    <t xml:space="preserve">Batterie de stockage</t>
  </si>
  <si>
    <t xml:space="preserve">Contrôle annuel (état de santé, ventilation)</t>
  </si>
  <si>
    <t xml:space="preserve">Rapport</t>
  </si>
  <si>
    <t xml:space="preserve">Perte de capacité, risque thermique</t>
  </si>
  <si>
    <t xml:space="preserve">Sur le boîtier</t>
  </si>
  <si>
    <t xml:space="preserve">Marque, modèle, n. de série, capacité (kWh)</t>
  </si>
  <si>
    <t xml:space="preserve">ENE-04</t>
  </si>
  <si>
    <t xml:space="preserve">Borne de recharge VE (IRVE)</t>
  </si>
  <si>
    <t xml:space="preserve">Contrôle annuel : câble, prise, différentiel, serrage</t>
  </si>
  <si>
    <t xml:space="preserve">Pro IRVE</t>
  </si>
  <si>
    <t xml:space="preserve">Échauffement des contacts, déclenchements, risque incendie</t>
  </si>
  <si>
    <t xml:space="preserve">Sous le capot ou sur le flanc</t>
  </si>
  <si>
    <t xml:space="preserve">Marque, modèle, n. de série, puissance (kW)</t>
  </si>
  <si>
    <t xml:space="preserve">ENE-05</t>
  </si>
  <si>
    <t xml:space="preserve">Tableau électrique et différentiels</t>
  </si>
  <si>
    <t xml:space="preserve">Diagnostic électrique : art. L271-4 CCH (vente si &gt; 15 ans) ; location : validité 6 ans</t>
  </si>
  <si>
    <t xml:space="preserve">Test des différentiels mensuel ; diagnostic à la vente ou à la mise en location</t>
  </si>
  <si>
    <t xml:space="preserve">Particulier + diagnostiqueur certifié</t>
  </si>
  <si>
    <t xml:space="preserve">Diagnostic électrique</t>
  </si>
  <si>
    <t xml:space="preserve">110-160 EUR le diagnostic</t>
  </si>
  <si>
    <t xml:space="preserve">Différentiel bloqué = protection nulle contre l'électrocution</t>
  </si>
  <si>
    <t xml:space="preserve">Pas de plaque unique : calibre et sensibilité gravés sur chaque différentiel</t>
  </si>
  <si>
    <t xml:space="preserve">Calibre, sensibilité (30 mA), type (AC, A, F)</t>
  </si>
  <si>
    <t xml:space="preserve">ENE-06</t>
  </si>
  <si>
    <t xml:space="preserve">Installation intérieure de gaz</t>
  </si>
  <si>
    <t xml:space="preserve">Oui (diagnostic)</t>
  </si>
  <si>
    <t xml:space="preserve">Art. L271-4 CCH</t>
  </si>
  <si>
    <t xml:space="preserve">Diagnostic à la vente si installation &gt; 15 ans (validité 3 ans) ; 6 ans en location</t>
  </si>
  <si>
    <t xml:space="preserve">Diagnostiqueur certifié</t>
  </si>
  <si>
    <t xml:space="preserve">Diagnostic gaz</t>
  </si>
  <si>
    <t xml:space="preserve">110-150 EUR</t>
  </si>
  <si>
    <t xml:space="preserve">Vente bloquée, responsabilité en cas de sinistre</t>
  </si>
  <si>
    <t xml:space="preserve">Photographier le dernier diagnostic gaz</t>
  </si>
  <si>
    <t xml:space="preserve">ENE-07</t>
  </si>
  <si>
    <t xml:space="preserve">Groupe électrogène</t>
  </si>
  <si>
    <t xml:space="preserve">Démarrage mensuel ; vidange annuelle ; carburant stabilisé</t>
  </si>
  <si>
    <t xml:space="preserve">Refus de démarrage le jour de la coupure</t>
  </si>
  <si>
    <t xml:space="preserve">Sur le châssis ou le moteur</t>
  </si>
  <si>
    <t xml:space="preserve">Marque, modèle, puissance (kVA), n. de série</t>
  </si>
  <si>
    <t xml:space="preserve">SEC-01</t>
  </si>
  <si>
    <t xml:space="preserve">Securite</t>
  </si>
  <si>
    <t xml:space="preserve">Détecteur de fumée (DAAF)</t>
  </si>
  <si>
    <t xml:space="preserve">10 ans</t>
  </si>
  <si>
    <t xml:space="preserve">Loi 2010-238 ; art. R129-12 à R129-15 CCH</t>
  </si>
  <si>
    <t xml:space="preserve">Installé par le propriétaire ; test mensuel et pile annuelle par l'occupant</t>
  </si>
  <si>
    <t xml:space="preserve">Attestation à transmettre à l'assureur</t>
  </si>
  <si>
    <t xml:space="preserve">Détecteur muet = risque vital ; difficulté d'indemnisation</t>
  </si>
  <si>
    <t xml:space="preserve">Au dos du détecteur</t>
  </si>
  <si>
    <t xml:space="preserve">Date de fabrication ou de fin de vie, norme NF EN 14604</t>
  </si>
  <si>
    <t xml:space="preserve">La photo lit la date : rappel de remplacement à 10 ans créé automatiquement</t>
  </si>
  <si>
    <t xml:space="preserve">SEC-02</t>
  </si>
  <si>
    <t xml:space="preserve">Détecteur de monoxyde de carbone</t>
  </si>
  <si>
    <t xml:space="preserve">Non (fortement recommandé)</t>
  </si>
  <si>
    <t xml:space="preserve">Test mensuel ; remplacement tous les 5-7 ans</t>
  </si>
  <si>
    <t xml:space="preserve">25-50 EUR</t>
  </si>
  <si>
    <t xml:space="preserve">Intoxication au CO : environ 100 décès par an en France</t>
  </si>
  <si>
    <t xml:space="preserve">Date de fin de vie, norme NF EN 50291</t>
  </si>
  <si>
    <t xml:space="preserve">Rappel de fin de vie créé automatiquement</t>
  </si>
  <si>
    <t xml:space="preserve">SEC-03</t>
  </si>
  <si>
    <t xml:space="preserve">Extincteur</t>
  </si>
  <si>
    <t xml:space="preserve">20 ans (avec contrôle)</t>
  </si>
  <si>
    <t xml:space="preserve">Obligatoire en parties communes et ERP ; facultatif en maison individuelle</t>
  </si>
  <si>
    <t xml:space="preserve">Vérification annuelle ; requalification tous les 10 ans</t>
  </si>
  <si>
    <t xml:space="preserve">Pro certifié</t>
  </si>
  <si>
    <t xml:space="preserve">Étiquette de contrôle</t>
  </si>
  <si>
    <t xml:space="preserve">25-50 EUR/an</t>
  </si>
  <si>
    <t xml:space="preserve">Extincteur inopérant au moment critique</t>
  </si>
  <si>
    <t xml:space="preserve">Étiquette sur le corps</t>
  </si>
  <si>
    <t xml:space="preserve">Date de fabrication, date du dernier contrôle, type d'agent</t>
  </si>
  <si>
    <t xml:space="preserve">SEC-04</t>
  </si>
  <si>
    <t xml:space="preserve">Alarme / système anti-intrusion</t>
  </si>
  <si>
    <t xml:space="preserve">Test mensuel ; piles des détecteurs annuelles</t>
  </si>
  <si>
    <t xml:space="preserve">Fausses alarmes ou absence de déclenchement</t>
  </si>
  <si>
    <t xml:space="preserve">Sous le capot de la centrale</t>
  </si>
  <si>
    <t xml:space="preserve">Application du fabricant</t>
  </si>
  <si>
    <t xml:space="preserve">SEC-05</t>
  </si>
  <si>
    <t xml:space="preserve">Videosurveillance</t>
  </si>
  <si>
    <t xml:space="preserve">RGPD ; art. 226-1 Code pénal si captation de la voie publique ou du voisinage</t>
  </si>
  <si>
    <t xml:space="preserve">Nettoyage des optiques tous les 6 mois ; purge des enregistrements</t>
  </si>
  <si>
    <t xml:space="preserve">Images inexploitables ; plainte pour atteinte à la vie privée</t>
  </si>
  <si>
    <t xml:space="preserve">Sous ou au dos de la caméra</t>
  </si>
  <si>
    <t xml:space="preserve">SEC-06</t>
  </si>
  <si>
    <t xml:space="preserve">Interphone / visiophone</t>
  </si>
  <si>
    <t xml:space="preserve">Nettoyage et test annuels</t>
  </si>
  <si>
    <t xml:space="preserve">Platine de rue corrodee par les intempéries</t>
  </si>
  <si>
    <t xml:space="preserve">Au dos du poste intérieur</t>
  </si>
  <si>
    <t xml:space="preserve">SEC-07</t>
  </si>
  <si>
    <t xml:space="preserve">Ascenseur privatif / monte-escalier</t>
  </si>
  <si>
    <t xml:space="preserve">Art. L125-2-2 et R125-2 CCH ; décret 2004-964</t>
  </si>
  <si>
    <t xml:space="preserve">Contrat d'entretien obligatoire ; visite au moins toutes les 6 semaines ; contrôle technique tous les 5 ans</t>
  </si>
  <si>
    <t xml:space="preserve">Ascensoriste</t>
  </si>
  <si>
    <t xml:space="preserve">Carnet d'entretien + rapport quinquennal</t>
  </si>
  <si>
    <t xml:space="preserve">1500-3000 EUR/an</t>
  </si>
  <si>
    <t xml:space="preserve">Responsabilité civile et pénale du propriétaire en cas d'accident</t>
  </si>
  <si>
    <t xml:space="preserve">Plaque dans la cabine</t>
  </si>
  <si>
    <t xml:space="preserve">Constructeur, charge nominale, n. d'installation</t>
  </si>
  <si>
    <t xml:space="preserve">Contrat d'entretien</t>
  </si>
  <si>
    <t xml:space="preserve">OUV-01</t>
  </si>
  <si>
    <t xml:space="preserve">Ouvrants</t>
  </si>
  <si>
    <t xml:space="preserve">Portail motorisé</t>
  </si>
  <si>
    <t xml:space="preserve">Non (individuel) / Oui (collectif)</t>
  </si>
  <si>
    <t xml:space="preserve">Arrêté du 21/12/1993 : visite semestrielle pour les portails collectifs</t>
  </si>
  <si>
    <t xml:space="preserve">Graissage et test des sécurités tous les 6 mois</t>
  </si>
  <si>
    <t xml:space="preserve">Particulier (individuel) / Pro (collectif)</t>
  </si>
  <si>
    <t xml:space="preserve">Livret d'entretien (collectif)</t>
  </si>
  <si>
    <t xml:space="preserve">0-150 EUR</t>
  </si>
  <si>
    <t xml:space="preserve">Sécurité anti-écrasement défaillante, moteur forcé</t>
  </si>
  <si>
    <t xml:space="preserve">Sur le moteur ou le boîtier de commande</t>
  </si>
  <si>
    <t xml:space="preserve">Marque, modèle du moteur</t>
  </si>
  <si>
    <t xml:space="preserve">OUV-02</t>
  </si>
  <si>
    <t xml:space="preserve">Porte de garage motorisée</t>
  </si>
  <si>
    <t xml:space="preserve">Arrêté du 21/12/1993 (collectif)</t>
  </si>
  <si>
    <t xml:space="preserve">Tous les 6 mois</t>
  </si>
  <si>
    <t xml:space="preserve">Particulier / Pro</t>
  </si>
  <si>
    <t xml:space="preserve">Rupture de ressort, chute du tablier</t>
  </si>
  <si>
    <t xml:space="preserve">Sur le moteur (au plafond) ou le montant de la porte</t>
  </si>
  <si>
    <t xml:space="preserve">OUV-03</t>
  </si>
  <si>
    <t xml:space="preserve">Volets roulants</t>
  </si>
  <si>
    <t xml:space="preserve">15-25 ans</t>
  </si>
  <si>
    <t xml:space="preserve">Nettoyage des coulisses et lubrification annuels</t>
  </si>
  <si>
    <t xml:space="preserve">Lames coincées, moteur grillé</t>
  </si>
  <si>
    <t xml:space="preserve">Sur le moteur, dans le coffre : inaccessible</t>
  </si>
  <si>
    <t xml:space="preserve">Marque du moteur</t>
  </si>
  <si>
    <t xml:space="preserve">Facture de l'installateur</t>
  </si>
  <si>
    <t xml:space="preserve">OUV-04</t>
  </si>
  <si>
    <t xml:space="preserve">Fenêtres et menuiseries</t>
  </si>
  <si>
    <t xml:space="preserve">Joints, quincaillerie et réglage annuels</t>
  </si>
  <si>
    <t xml:space="preserve">Infiltrations, déperdition thermique, ferrage désaxé</t>
  </si>
  <si>
    <t xml:space="preserve">Marquage dans la feuillure du dormant (pas systématique)</t>
  </si>
  <si>
    <t xml:space="preserve">Fabricant, certification</t>
  </si>
  <si>
    <t xml:space="preserve">OUV-05</t>
  </si>
  <si>
    <t xml:space="preserve">Store banne / pergola</t>
  </si>
  <si>
    <t xml:space="preserve">Nettoyage de la toile et graissage annuels</t>
  </si>
  <si>
    <t xml:space="preserve">0-80 EUR</t>
  </si>
  <si>
    <t xml:space="preserve">Toile moisie, bras bloqués, casse au premier coup de vent</t>
  </si>
  <si>
    <t xml:space="preserve">Étiquette sous le coffre ou sur la barre de charge</t>
  </si>
  <si>
    <t xml:space="preserve">Fabricant, modèle, dimensions</t>
  </si>
  <si>
    <t xml:space="preserve">PIS-01</t>
  </si>
  <si>
    <t xml:space="preserve">Piscine</t>
  </si>
  <si>
    <t xml:space="preserve">Bassin de piscine enterrée</t>
  </si>
  <si>
    <t xml:space="preserve">Oui (sécurité)</t>
  </si>
  <si>
    <t xml:space="preserve">Loi 2003-9 ; art. L128-1 et R128-1 CCH</t>
  </si>
  <si>
    <t xml:space="preserve">Dispositif de sécurité normalisé obligatoire en permanence (barrière, alarme, couverture ou abri)</t>
  </si>
  <si>
    <t xml:space="preserve">Attestation de conformité du dispositif</t>
  </si>
  <si>
    <t xml:space="preserve">45 000 EUR d'amende si absence</t>
  </si>
  <si>
    <t xml:space="preserve">Noyade d'enfant ; amende jusqu'à 45 000 EUR</t>
  </si>
  <si>
    <t xml:space="preserve">Photographier l'attestation de conformité du dispositif de sécurité</t>
  </si>
  <si>
    <t xml:space="preserve">PIS-02</t>
  </si>
  <si>
    <t xml:space="preserve">Filtre à sable</t>
  </si>
  <si>
    <t xml:space="preserve">Contre-lavage hebdomadaire en saison ; remplacement du sable tous les 5-7 ans</t>
  </si>
  <si>
    <t xml:space="preserve">150-300 EUR le sable</t>
  </si>
  <si>
    <t xml:space="preserve">Sable colmaté = eau trouble, surconsommation de produits</t>
  </si>
  <si>
    <t xml:space="preserve">Étiquette sur la cuve du filtre</t>
  </si>
  <si>
    <t xml:space="preserve">Marque, modèle, diamètre, débit, volume de sable</t>
  </si>
  <si>
    <t xml:space="preserve">Le volume de sable conditionné la commande de recharge</t>
  </si>
  <si>
    <t xml:space="preserve">PIS-03</t>
  </si>
  <si>
    <t xml:space="preserve">Pompe de filtration</t>
  </si>
  <si>
    <t xml:space="preserve">Prefiltre hebdomadaire ; hivernage annuel</t>
  </si>
  <si>
    <t xml:space="preserve">Pompe désamorcée ou gelée = remplacement complet</t>
  </si>
  <si>
    <t xml:space="preserve">Sur le moteur</t>
  </si>
  <si>
    <t xml:space="preserve">Marque, modèle, puissance, débit</t>
  </si>
  <si>
    <t xml:space="preserve">PIS-04</t>
  </si>
  <si>
    <t xml:space="preserve">Electrolyseur au sel</t>
  </si>
  <si>
    <t xml:space="preserve">Contrôle de la cellule mensuel ; détartrage annuel</t>
  </si>
  <si>
    <t xml:space="preserve">0-40 EUR</t>
  </si>
  <si>
    <t xml:space="preserve">Cellule entartrée = production de chlore nulle</t>
  </si>
  <si>
    <t xml:space="preserve">Sur le coffret de commande</t>
  </si>
  <si>
    <t xml:space="preserve">Marque, modèle, capacité (m3)</t>
  </si>
  <si>
    <t xml:space="preserve">PIS-05</t>
  </si>
  <si>
    <t xml:space="preserve">Pompe à chaleur de piscine</t>
  </si>
  <si>
    <t xml:space="preserve">Échangeur entartré, fuite de fluide frigorigene</t>
  </si>
  <si>
    <t xml:space="preserve">Flanc de l'appareil</t>
  </si>
  <si>
    <t xml:space="preserve">PIS-06</t>
  </si>
  <si>
    <t xml:space="preserve">Robot de piscine</t>
  </si>
  <si>
    <t xml:space="preserve">Rinçage et filtre après chaque usage ; brosses annuelles</t>
  </si>
  <si>
    <t xml:space="preserve">30-80 EUR</t>
  </si>
  <si>
    <t xml:space="preserve">Moteur encrassé, courroies rompues</t>
  </si>
  <si>
    <t xml:space="preserve">Sous le robot ou sur le boîtier d'alimentation</t>
  </si>
  <si>
    <t xml:space="preserve">PIS-07</t>
  </si>
  <si>
    <t xml:space="preserve">Alarme de piscine</t>
  </si>
  <si>
    <t xml:space="preserve">Norme NF P90-307 ; obligatoire des lors que l'alarme est le dispositif de sécurité retenu</t>
  </si>
  <si>
    <t xml:space="preserve">Test mensuel ; pile annuelle</t>
  </si>
  <si>
    <t xml:space="preserve">Attestation de conformité</t>
  </si>
  <si>
    <t xml:space="preserve">Dispositif réglementaire inopérant = responsabilité pénale</t>
  </si>
  <si>
    <t xml:space="preserve">Marque, modèle, norme NF P90-307</t>
  </si>
  <si>
    <t xml:space="preserve">La mention de la norme prouve la conformité du dispositif</t>
  </si>
  <si>
    <t xml:space="preserve">PIS-08</t>
  </si>
  <si>
    <t xml:space="preserve">Spa / jacuzzi</t>
  </si>
  <si>
    <t xml:space="preserve">Filtres mensuels ; vidange tous les 3 mois ; détartrage annuel</t>
  </si>
  <si>
    <t xml:space="preserve">50-150 EUR</t>
  </si>
  <si>
    <t xml:space="preserve">Legionelle, biofilm dans les canalisations</t>
  </si>
  <si>
    <t xml:space="preserve">Sur le coffret électrique ou le flanc de la cuve</t>
  </si>
  <si>
    <t xml:space="preserve">JAR-01</t>
  </si>
  <si>
    <t xml:space="preserve">Jardin</t>
  </si>
  <si>
    <t xml:space="preserve">Tondeuse thermique</t>
  </si>
  <si>
    <t xml:space="preserve">Vidange, bougie, filtre à air et affûtage annuels</t>
  </si>
  <si>
    <t xml:space="preserve">30-60 EUR</t>
  </si>
  <si>
    <t xml:space="preserve">Moteur grippé, coupe qui arraché l'herbe</t>
  </si>
  <si>
    <t xml:space="preserve">Sur le carter ou le moteur</t>
  </si>
  <si>
    <t xml:space="preserve">Marque, modèle, n. de série, cylindrée</t>
  </si>
  <si>
    <t xml:space="preserve">Le modèle de moteur donne les références de bougie et de filtre</t>
  </si>
  <si>
    <t xml:space="preserve">JAR-02</t>
  </si>
  <si>
    <t xml:space="preserve">Robot tondeuse</t>
  </si>
  <si>
    <t xml:space="preserve">Lames tous les 2-3 mois ; hivernage ; batterie tous les 3-5 ans</t>
  </si>
  <si>
    <t xml:space="preserve">Lames émoussées = surconsommation et pelouse abîmée</t>
  </si>
  <si>
    <t xml:space="preserve">Sous le robot</t>
  </si>
  <si>
    <t xml:space="preserve">JAR-03</t>
  </si>
  <si>
    <t xml:space="preserve">Taille-haie / debroussailleuse</t>
  </si>
  <si>
    <t xml:space="preserve">Affûtage, filtre à air et graissage annuels</t>
  </si>
  <si>
    <t xml:space="preserve">Lames grippées, moteur noyé au redémarrage</t>
  </si>
  <si>
    <t xml:space="preserve">Sur le corps de l'appareil</t>
  </si>
  <si>
    <t xml:space="preserve">JAR-04</t>
  </si>
  <si>
    <t xml:space="preserve">Nettoyeur haute pression</t>
  </si>
  <si>
    <t xml:space="preserve">Filtre après usage ; hivernage avec antigel</t>
  </si>
  <si>
    <t xml:space="preserve">Pompe fendue par le gel : appareil perdu</t>
  </si>
  <si>
    <t xml:space="preserve">Sur le flanc</t>
  </si>
  <si>
    <t xml:space="preserve">Marque, modèle, pression, débit</t>
  </si>
  <si>
    <t xml:space="preserve">JAR-05</t>
  </si>
  <si>
    <t xml:space="preserve">Arrosage automatique</t>
  </si>
  <si>
    <t xml:space="preserve">Contrôle des goutteurs au printemps ; purge hivernale</t>
  </si>
  <si>
    <t xml:space="preserve">Canalisations éclatées par le gel</t>
  </si>
  <si>
    <t xml:space="preserve">Sur le programmateur</t>
  </si>
  <si>
    <t xml:space="preserve">JAR-06</t>
  </si>
  <si>
    <t xml:space="preserve">Barbecue / plancha gaz</t>
  </si>
  <si>
    <t xml:space="preserve">Brûleurs annuels ; contrôle du flexible (date de péremption)</t>
  </si>
  <si>
    <t xml:space="preserve">Fuite de gaz, retour de flamme</t>
  </si>
  <si>
    <t xml:space="preserve">Sous la cuve ou sur le chariot</t>
  </si>
  <si>
    <t xml:space="preserve">Photographier aussi la date imprimée sur le flexible</t>
  </si>
  <si>
    <t xml:space="preserve">JAR-07</t>
  </si>
  <si>
    <t xml:space="preserve">Abri / cabane de jardin</t>
  </si>
  <si>
    <t xml:space="preserve">Traitement du bois tous les 2-3 ans</t>
  </si>
  <si>
    <t xml:space="preserve">40-80 EUR</t>
  </si>
  <si>
    <t xml:space="preserve">Pourrissement des lisses basses, toiture percée</t>
  </si>
  <si>
    <t xml:space="preserve">BAT-01</t>
  </si>
  <si>
    <t xml:space="preserve">Bati</t>
  </si>
  <si>
    <t xml:space="preserve">Toiture</t>
  </si>
  <si>
    <t xml:space="preserve">40-70 ans</t>
  </si>
  <si>
    <t xml:space="preserve">Contrôle visuel annuel ; demoussage tous les 5-10 ans</t>
  </si>
  <si>
    <t xml:space="preserve">400-1200 EUR</t>
  </si>
  <si>
    <t xml:space="preserve">Infiltration = charpente et isolation à reprendre</t>
  </si>
  <si>
    <t xml:space="preserve">Facture du dernier demoussage ou de la dernière réparation</t>
  </si>
  <si>
    <t xml:space="preserve">BAT-02</t>
  </si>
  <si>
    <t xml:space="preserve">Gouttières et descentes</t>
  </si>
  <si>
    <t xml:space="preserve">Nettoyage 2 fois par an (automne et printemps)</t>
  </si>
  <si>
    <t xml:space="preserve">0-200 EUR</t>
  </si>
  <si>
    <t xml:space="preserve">Débordement, infiltration en pied de mur, humidité ascensionnelle</t>
  </si>
  <si>
    <t xml:space="preserve">BAT-03</t>
  </si>
  <si>
    <t xml:space="preserve">Façade / enduit</t>
  </si>
  <si>
    <t xml:space="preserve">Art. L132-1 CCH : ravalement imposable par arrêté municipal (souvent tous les 10 ans)</t>
  </si>
  <si>
    <t xml:space="preserve">Contrôle annuel ; ravalement tous les 10-15 ans</t>
  </si>
  <si>
    <t xml:space="preserve">Facture de ravalement</t>
  </si>
  <si>
    <t xml:space="preserve">Injonction municipale, exécution d'office aux frais du propriétaire</t>
  </si>
  <si>
    <t xml:space="preserve">Facture du dernier ravalement</t>
  </si>
  <si>
    <t xml:space="preserve">BAT-04</t>
  </si>
  <si>
    <t xml:space="preserve">Terrasse bois</t>
  </si>
  <si>
    <t xml:space="preserve">Nettoyage et saturateur annuels</t>
  </si>
  <si>
    <t xml:space="preserve">40-100 EUR</t>
  </si>
  <si>
    <t xml:space="preserve">Grisaillement, échardes, lames fendues</t>
  </si>
  <si>
    <t xml:space="preserve">BAT-05</t>
  </si>
  <si>
    <t xml:space="preserve">Charpente</t>
  </si>
  <si>
    <t xml:space="preserve">80-100 ans</t>
  </si>
  <si>
    <t xml:space="preserve">Contrôle termites et insectes xylophages tous les 3-5 ans</t>
  </si>
  <si>
    <t xml:space="preserve">Diagnostic</t>
  </si>
  <si>
    <t xml:space="preserve">Attaque non détectée = reprise structurelle très lourde</t>
  </si>
  <si>
    <t xml:space="preserve">Dernier diagnostic termites ou traitement</t>
  </si>
  <si>
    <t xml:space="preserve">BAT-06</t>
  </si>
  <si>
    <t xml:space="preserve">Combles et isolation</t>
  </si>
  <si>
    <t xml:space="preserve">Contrôle annuel : humidité, tassement, nuisibles</t>
  </si>
  <si>
    <t xml:space="preserve">Isolant tassé ou humide = performance divisée par deux</t>
  </si>
  <si>
    <t xml:space="preserve">BAT-07</t>
  </si>
  <si>
    <t xml:space="preserve">Vide sanitaire / cave</t>
  </si>
  <si>
    <t xml:space="preserve">Contrôle de l'humidité et de la ventilation annuel</t>
  </si>
  <si>
    <t xml:space="preserve">Remontées capillaires, salpêtre, planchers dégradés</t>
  </si>
  <si>
    <t xml:space="preserve">VEH-01</t>
  </si>
  <si>
    <t xml:space="preserve">Voiture (thermique, hybride ou électrique)</t>
  </si>
  <si>
    <t xml:space="preserve">Code de la route art. R323-1 et suivants</t>
  </si>
  <si>
    <t xml:space="preserve">1er contrôle dans les 6 mois précédant le 4e anniversaire, puis tous les 2 ans</t>
  </si>
  <si>
    <t xml:space="preserve">Centre de contrôle agréé</t>
  </si>
  <si>
    <t xml:space="preserve">Procès-verbal de contrôle technique</t>
  </si>
  <si>
    <t xml:space="preserve">70-90 EUR</t>
  </si>
  <si>
    <t xml:space="preserve">Amende de 135 EUR, immobilisation possible, difficultés avec l'assureur après un sinistre</t>
  </si>
  <si>
    <t xml:space="preserve">Certificat d'immatriculation (carte grise)</t>
  </si>
  <si>
    <t xml:space="preserve">Date de première immatriculation (champ B), marque, modèle, immatriculation</t>
  </si>
  <si>
    <t xml:space="preserve">La photo suffit à calculer l'échéance du contrôle technique. Ne conserver que ces champs : la carte grise porte nom et adresse</t>
  </si>
  <si>
    <t xml:space="preserve">VEH-02</t>
  </si>
  <si>
    <t xml:space="preserve">Deux-roues, trois-roues ou quadricycle motorisé (moto, scooter)</t>
  </si>
  <si>
    <t xml:space="preserve">Décret n. 2023-974 et arrêté du 23/10/2023</t>
  </si>
  <si>
    <t xml:space="preserve">1er contrôle entre 4,5 et 5 ans après la 1re immatriculation, puis tous les 3 ans (calendrier transitoire avant 2022)</t>
  </si>
  <si>
    <t xml:space="preserve">Centre de contrôle agréé catégorie L</t>
  </si>
  <si>
    <t xml:space="preserve">50-70 EUR</t>
  </si>
  <si>
    <t xml:space="preserve">Amende de 135 EUR</t>
  </si>
  <si>
    <t xml:space="preserve">Idem voiture : l'échéance du contrôle technique se calcule depuis le champ B</t>
  </si>
  <si>
    <t xml:space="preserve">VEH-03</t>
  </si>
  <si>
    <t xml:space="preserve">Vélo à assistance électrique</t>
  </si>
  <si>
    <t xml:space="preserve">8-12 ans (batterie 4-6 ans)</t>
  </si>
  <si>
    <t xml:space="preserve">Révision annuelle recommandée</t>
  </si>
  <si>
    <t xml:space="preserve">Particulier ou réparateur vélo</t>
  </si>
  <si>
    <t xml:space="preserve">Facture d'entretien</t>
  </si>
  <si>
    <t xml:space="preserve">60-100 EUR</t>
  </si>
  <si>
    <t xml:space="preserve">Freinage dégradé, transmission usée, batterie abîmée par un stockage à plat ou à pleine charge</t>
  </si>
  <si>
    <t xml:space="preserve">Numéro de cadre gravé sous le pédalier ; étiquette sur le boîtier de la batterie</t>
  </si>
  <si>
    <t xml:space="preserve">Marque, modèle, numéro de cadre, capacité de la batterie (Wh)</t>
  </si>
  <si>
    <t xml:space="preserve">Le numéro de cadre sert aussi en cas de vol</t>
  </si>
  <si>
    <t xml:space="preserve">Bibliotheque des taches d'entretien</t>
  </si>
  <si>
    <t xml:space="preserve">Le coeur du produit. La colonne Si non fait est ce qui declenche l'action chez l'utilisateur, bien plus que le rappel lui-meme.</t>
  </si>
  <si>
    <t xml:space="preserve">ID tache</t>
  </si>
  <si>
    <t xml:space="preserve">ID equip.</t>
  </si>
  <si>
    <t xml:space="preserve">Tache</t>
  </si>
  <si>
    <t xml:space="preserve">DIY / Pro</t>
  </si>
  <si>
    <t xml:space="preserve">Frequence (mois)</t>
  </si>
  <si>
    <t xml:space="preserve">Frequence (texte)</t>
  </si>
  <si>
    <t xml:space="preserve">Periode recommandee</t>
  </si>
  <si>
    <t xml:space="preserve">Duree (min)</t>
  </si>
  <si>
    <t xml:space="preserve">Outils et consommables</t>
  </si>
  <si>
    <t xml:space="preserve">Mode operatoire</t>
  </si>
  <si>
    <t xml:space="preserve">Si la tache n'est pas faite</t>
  </si>
  <si>
    <t xml:space="preserve">Niveau d'entretien</t>
  </si>
  <si>
    <t xml:space="preserve">Temps actif (min)</t>
  </si>
  <si>
    <t xml:space="preserve">T-001</t>
  </si>
  <si>
    <t xml:space="preserve">Entretien annuel par un professionnel</t>
  </si>
  <si>
    <t xml:space="preserve">Tous les 12 mois</t>
  </si>
  <si>
    <t xml:space="preserve">Août à octobre (avant la chauffe)</t>
  </si>
  <si>
    <t xml:space="preserve">Prestataire qualifié PG</t>
  </si>
  <si>
    <t xml:space="preserve">Prendre rendez-vous hors pic saisonnier. Le technicien contrôle le corps de chauffe, le brûleur, les organes de sécurité, mesure le taux de CO et le rendement. Récupérer l'attestation sous 15 jours et l'archiver.</t>
  </si>
  <si>
    <t xml:space="preserve">Obligation légale non respectée, risque de CO, refus de prise en charge par l'assurance</t>
  </si>
  <si>
    <t xml:space="preserve">Obligation</t>
  </si>
  <si>
    <t xml:space="preserve">T-002</t>
  </si>
  <si>
    <t xml:space="preserve">Contrôle de la pression du circuit</t>
  </si>
  <si>
    <t xml:space="preserve">DIY</t>
  </si>
  <si>
    <t xml:space="preserve">Tous les mois</t>
  </si>
  <si>
    <t xml:space="preserve">Toute l'année</t>
  </si>
  <si>
    <t xml:space="preserve">Aucun (manomètre intégré)</t>
  </si>
  <si>
    <t xml:space="preserve">Lire le manomètre à froid. Entre 1 et 1,5 bar en général. Si en dessous, ouvrir la vanne de remplissage jusqu'à 1,2 bar puis refermer. Si la pression rechute chaque semaine, il y a une fuite : appeler un professionnel.</t>
  </si>
  <si>
    <t xml:space="preserve">Mise en sécurité de la chaudière, arrêt du chauffage</t>
  </si>
  <si>
    <t xml:space="preserve">Essentiel</t>
  </si>
  <si>
    <t xml:space="preserve">T-003</t>
  </si>
  <si>
    <t xml:space="preserve">Purge du circulateur et vérification du vase d'expansion</t>
  </si>
  <si>
    <t xml:space="preserve">Pendant l'entretien annuel</t>
  </si>
  <si>
    <t xml:space="preserve">Manomètre, pompe à vélo</t>
  </si>
  <si>
    <t xml:space="preserve">À faire réaliser lors de l'entretien : contrôle de la pression de gonflage du vase (généralement 0,8 à 1 bar, circuit vide) et purge du circulateur.</t>
  </si>
  <si>
    <t xml:space="preserve">Vase crevé = variations de pression permanentes et fatigue du circuit</t>
  </si>
  <si>
    <t xml:space="preserve">Recommande</t>
  </si>
  <si>
    <t xml:space="preserve">T-004</t>
  </si>
  <si>
    <t xml:space="preserve">Entretien annuel chaudière fioul</t>
  </si>
  <si>
    <t xml:space="preserve">Août à octobre</t>
  </si>
  <si>
    <t xml:space="preserve">Prestataire qualifié</t>
  </si>
  <si>
    <t xml:space="preserve">Nettoyage du corps de chauffe et de la buse, remplacement du gicleur et du filtre fioul, réglage de la combustion avec analyseur, mesure de l'indice de noircissement. Attestation à archiver.</t>
  </si>
  <si>
    <t xml:space="preserve">Brûleur encrassé, surconsommation, panne en plein hiver</t>
  </si>
  <si>
    <t xml:space="preserve">T-005</t>
  </si>
  <si>
    <t xml:space="preserve">Relevé du niveau de la cuve et commande anticipée</t>
  </si>
  <si>
    <t xml:space="preserve">Octobre à mars</t>
  </si>
  <si>
    <t xml:space="preserve">Jauge</t>
  </si>
  <si>
    <t xml:space="preserve">Relever le niveau. Commander dès que la cuve descend sous 25% : les délais et les prix montent fortement en pleine saison de chauffe.</t>
  </si>
  <si>
    <t xml:space="preserve">Panne sèche, aspiration des boues de fond de cuve</t>
  </si>
  <si>
    <t xml:space="preserve">T-006</t>
  </si>
  <si>
    <t xml:space="preserve">Entretien annuel chaudière bois / granules</t>
  </si>
  <si>
    <t xml:space="preserve">Août à septembre</t>
  </si>
  <si>
    <t xml:space="preserve">Nettoyage complet de l'échangeur, du foyer et du système d'extraction des cendres, contrôle des sondes et de la vis sans fin, réglage de la combustion.</t>
  </si>
  <si>
    <t xml:space="preserve">Perte de rendement, blocage de la vis d'alimentation</t>
  </si>
  <si>
    <t xml:space="preserve">T-007</t>
  </si>
  <si>
    <t xml:space="preserve">Vidage du cendrier</t>
  </si>
  <si>
    <t xml:space="preserve">Toutes les 2 à 6 semaines selon usage</t>
  </si>
  <si>
    <t xml:space="preserve">Octobre à avril</t>
  </si>
  <si>
    <t xml:space="preserve">Aspirateur à cendres</t>
  </si>
  <si>
    <t xml:space="preserve">Laisser refroidir complètement. Aspirer avec un aspirateur à cendres uniquement (jamais un aspirateur domestique). Vérifier que le cendrier est bien reclipse.</t>
  </si>
  <si>
    <t xml:space="preserve">Débordement dans le foyer, combustion dégradée</t>
  </si>
  <si>
    <t xml:space="preserve">T-008</t>
  </si>
  <si>
    <t xml:space="preserve">Nettoyage du creuset et de la vitre</t>
  </si>
  <si>
    <t xml:space="preserve">Toutes les semaines en saison</t>
  </si>
  <si>
    <t xml:space="preserve">Aspirateur à cendres, grattoir, chiffon</t>
  </si>
  <si>
    <t xml:space="preserve">Appareil froid. Retirer le creuset, gratter les trous d'arrivée d'air un par un, aspirer le logement. Nettoyer la vitre avec de la cendre humide sur du papier journal.</t>
  </si>
  <si>
    <t xml:space="preserve">Trous obstrués = mauvaise combustion, extinction, code d'erreur</t>
  </si>
  <si>
    <t xml:space="preserve">T-009</t>
  </si>
  <si>
    <t xml:space="preserve">Nettoyage de l'échangeur et des conduits internes</t>
  </si>
  <si>
    <t xml:space="preserve">Tous les mois en saison</t>
  </si>
  <si>
    <t xml:space="preserve">Aspirateur à cendres, ecouvillon fourni</t>
  </si>
  <si>
    <t xml:space="preserve">Actionner les tringles de decendrage si l'appareil en dispose, ouvrir les trappes de ramonage internes et aspirer. Se référer à la notice pour l'emplacement exact des trappes.</t>
  </si>
  <si>
    <t xml:space="preserve">Échangeur encrassé = jusqu'à 20% de rendement perdu</t>
  </si>
  <si>
    <t xml:space="preserve">T-010</t>
  </si>
  <si>
    <t xml:space="preserve">Entretien annuel complet par un professionnel</t>
  </si>
  <si>
    <t xml:space="preserve">Démontage, nettoyage des ventilateurs et du bougeoir, contrôle des joints, de la sonde de température et du pressostat, mise à jour des paramètres de combustion.</t>
  </si>
  <si>
    <t xml:space="preserve">Obligation légale, usure prématurée, arrêt en pleine saison</t>
  </si>
  <si>
    <t xml:space="preserve">T-011</t>
  </si>
  <si>
    <t xml:space="preserve">Remplacement des joints de porte et de vitre</t>
  </si>
  <si>
    <t xml:space="preserve">Tous les 3 ans</t>
  </si>
  <si>
    <t xml:space="preserve">Hors saison</t>
  </si>
  <si>
    <t xml:space="preserve">Kit de joints, colle réfractaire</t>
  </si>
  <si>
    <t xml:space="preserve">À faire réaliser lors de l'entretien annuel. Test préalable : glisser une feuille de papier dans la porte fermée, si elle coulisse sans résistance, le joint est à changer.</t>
  </si>
  <si>
    <t xml:space="preserve">Entrée d'air parasite, combustion incontrôlée, surconsommation</t>
  </si>
  <si>
    <t xml:space="preserve">T-012</t>
  </si>
  <si>
    <t xml:space="preserve">Nettoyage de la vitre et du foyer</t>
  </si>
  <si>
    <t xml:space="preserve">Cendre, papier journal, aspirateur à cendres</t>
  </si>
  <si>
    <t xml:space="preserve">Laisser un lit de cendres de 2 à 3 cm au fond du foyer : il favorise la combustion. Nettoyer la vitre avec du papier journal humidifié trempé dans la cendre.</t>
  </si>
  <si>
    <t xml:space="preserve">Vitre opaque, mauvais tirage</t>
  </si>
  <si>
    <t xml:space="preserve">T-013</t>
  </si>
  <si>
    <t xml:space="preserve">Entretien annuel de l'appareil</t>
  </si>
  <si>
    <t xml:space="preserve">Contrôle des briques réfractaires, du déflecteur, des joints et du tirage. À coupler avec le ramonage pour une seule intervention.</t>
  </si>
  <si>
    <t xml:space="preserve">Déflecteur percé = chaleur perdue et conduit surchauffe</t>
  </si>
  <si>
    <t xml:space="preserve">T-014</t>
  </si>
  <si>
    <t xml:space="preserve">Ramonage mécanique du conduit</t>
  </si>
  <si>
    <t xml:space="preserve">1 fois par an minimum</t>
  </si>
  <si>
    <t xml:space="preserve">Août à septembre, ou février-mars</t>
  </si>
  <si>
    <t xml:space="preserve">Ramoneur qualifié</t>
  </si>
  <si>
    <t xml:space="preserve">Ramonage mécanique obligatoire (hérisson), le ramonage chimique ne vaut pas preuve. Exiger le certificat de ramonage et le conserver 5 ans : c'est la pièce que l'assureur réclame après un sinistre.</t>
  </si>
  <si>
    <t xml:space="preserve">Amende jusqu'à 450 EUR, refus d'indemnisation en cas de feu de cheminée</t>
  </si>
  <si>
    <t xml:space="preserve">T-015</t>
  </si>
  <si>
    <t xml:space="preserve">Second ramonage pour les gros consommateurs</t>
  </si>
  <si>
    <t xml:space="preserve">2e passage si &gt; 6 m3 de bois ou &gt; 2,5 t de granules par an</t>
  </si>
  <si>
    <t xml:space="preserve">Pendant la période de chauffe</t>
  </si>
  <si>
    <t xml:space="preserve">Vérifier sa consommation annuelle. Au-delà des seuils, un second ramonage est requis, dont un pendant la période d'utilisation. Certaines communes restent plus exigeantes : vérifier en mairie.</t>
  </si>
  <si>
    <t xml:space="preserve">Non-conformité, bistre accumulé, risque de feu de conduit</t>
  </si>
  <si>
    <t xml:space="preserve">T-016</t>
  </si>
  <si>
    <t xml:space="preserve">Ramonage du conduit de cheminée ouverte</t>
  </si>
  <si>
    <t xml:space="preserve">Avant la saison de chauffe</t>
  </si>
  <si>
    <t xml:space="preserve">Même obligation que pour un foyer fermé. Le foyer ouvert lui-même est dispensé d'entretien réglementaire mais doit être maintenu propre et en bon état.</t>
  </si>
  <si>
    <t xml:space="preserve">T-017</t>
  </si>
  <si>
    <t xml:space="preserve">Entretien biennal de la PAC</t>
  </si>
  <si>
    <t xml:space="preserve">Printemps ou automne</t>
  </si>
  <si>
    <t xml:space="preserve">Contrôle de l'étanchéité du circuit frigorifique, des pressions, du dégivrage, nettoyage de l'échangeur, contrôle du circulateur et de la régulation. Attestation à archiver.</t>
  </si>
  <si>
    <t xml:space="preserve">Obligation légale, perte de COP, casse compresseur (3000 à 6000 EUR)</t>
  </si>
  <si>
    <t xml:space="preserve">T-018</t>
  </si>
  <si>
    <t xml:space="preserve">Nettoyage de l'unité extérieure</t>
  </si>
  <si>
    <t xml:space="preserve">Avril et octobre</t>
  </si>
  <si>
    <t xml:space="preserve">Brosse souple, jet d'eau basse pression</t>
  </si>
  <si>
    <t xml:space="preserve">Couper l'alimentation. Retirer feuilles et débris autour de l'unité, brosser délicatement les ailettes dans le sens des lamelles. Dégager 50 cm tout autour. Ne jamais utiliser de nettoyeur haute pression.</t>
  </si>
  <si>
    <t xml:space="preserve">Échangeur obstrué = perte de rendement et degivrages à répétition</t>
  </si>
  <si>
    <t xml:space="preserve">T-019</t>
  </si>
  <si>
    <t xml:space="preserve">Contrôle du dégagement hivernal et de l'évacuation des condensats</t>
  </si>
  <si>
    <t xml:space="preserve">Tous les ans</t>
  </si>
  <si>
    <t xml:space="preserve">Novembre</t>
  </si>
  <si>
    <t xml:space="preserve">Aucun</t>
  </si>
  <si>
    <t xml:space="preserve">Vérifier que l'évacuation des condensats sous l'unité n'est pas obstruée et que l'unité n'est pas posée dans une cuvette qui gèle. Surélever si nécessaire.</t>
  </si>
  <si>
    <t xml:space="preserve">Bac de dégivrage pris en glace, ventilateur bloqué</t>
  </si>
  <si>
    <t xml:space="preserve">T-020</t>
  </si>
  <si>
    <t xml:space="preserve">Nettoyage des filtres des unités intérieures</t>
  </si>
  <si>
    <t xml:space="preserve">Tous les mois en saison d'usage</t>
  </si>
  <si>
    <t xml:space="preserve">Eau tiède savonneuse</t>
  </si>
  <si>
    <t xml:space="preserve">Ouvrir la façade, retirer les filtres, laver à l'eau tiède, sécher complètement à l'ombre avant remontage. Un filtre remonté humide devient un nid à moisissures.</t>
  </si>
  <si>
    <t xml:space="preserve">Débit d'air réduit, odeurs, allergenes diffusés dans le logement</t>
  </si>
  <si>
    <t xml:space="preserve">T-021</t>
  </si>
  <si>
    <t xml:space="preserve">Entretien biennal du système</t>
  </si>
  <si>
    <t xml:space="preserve">Printemps</t>
  </si>
  <si>
    <t xml:space="preserve">Contrôle d'étanchéité, désinfection de l'échangeur intérieur, contrôle des pressions et du bac à condensats.</t>
  </si>
  <si>
    <t xml:space="preserve">Obligation légale, fuite de fluide frigorigene à fort pouvoir réchauffant</t>
  </si>
  <si>
    <t xml:space="preserve">T-022</t>
  </si>
  <si>
    <t xml:space="preserve">Purge des radiateurs</t>
  </si>
  <si>
    <t xml:space="preserve">Septembre ou octobre</t>
  </si>
  <si>
    <t xml:space="preserve">Clé de purge, chiffon, récipient</t>
  </si>
  <si>
    <t xml:space="preserve">Chauffage en marche puis coupé 1 h avant. Commencer par le radiateur le plus bas et le plus proche de la chaudière, finir par le plus éloigné en étage. Ouvrir jusqu'à ce que l'eau coule sans bulles. Rétablir la pression à la fin.</t>
  </si>
  <si>
    <t xml:space="preserve">Radiateurs froids en partie haute, gargouillis, surconsommation</t>
  </si>
  <si>
    <t xml:space="preserve">T-023</t>
  </si>
  <si>
    <t xml:space="preserve">Dépoussiérage des radiateurs</t>
  </si>
  <si>
    <t xml:space="preserve">Septembre et mars</t>
  </si>
  <si>
    <t xml:space="preserve">Aspirateur, goupillon long</t>
  </si>
  <si>
    <t xml:space="preserve">Aspirer les ailettes par le dessus et passer un goupillon entre les lames. La poussière agit comme un isolant sur la surface d'échange.</t>
  </si>
  <si>
    <t xml:space="preserve">Jusqu'à 10% de rendement perdu</t>
  </si>
  <si>
    <t xml:space="preserve">T-024</t>
  </si>
  <si>
    <t xml:space="preserve">Desembouage du circuit</t>
  </si>
  <si>
    <t xml:space="preserve">Tous les 8 à 10 ans</t>
  </si>
  <si>
    <t xml:space="preserve">Hors saison de chauffe</t>
  </si>
  <si>
    <t xml:space="preserve">Prestataire spécialisé</t>
  </si>
  <si>
    <t xml:space="preserve">Injection d'un desembouant, circulation, rinçage et repose d'un inhibiteur de corrosion. Recommande d'installer un pot à boues magnétique à cette occasion.</t>
  </si>
  <si>
    <t xml:space="preserve">Boues = circulateur qui casse, échangeur bouché, jusqu'à 15% de rendement perdu</t>
  </si>
  <si>
    <t xml:space="preserve">T-025</t>
  </si>
  <si>
    <t xml:space="preserve">Dépoussiérage des convecteurs électriques</t>
  </si>
  <si>
    <t xml:space="preserve">Septembre</t>
  </si>
  <si>
    <t xml:space="preserve">Aspirateur, brosse</t>
  </si>
  <si>
    <t xml:space="preserve">Appareil éteint et froid. Aspirer les grilles hautes et basses. Ne jamais poser de linge à sécher dessus.</t>
  </si>
  <si>
    <t xml:space="preserve">Odeur de brûlé à la remise en route, risque d'incendie</t>
  </si>
  <si>
    <t xml:space="preserve">T-026</t>
  </si>
  <si>
    <t xml:space="preserve">Contrôle et nettoyage de la cuve à fioul</t>
  </si>
  <si>
    <t xml:space="preserve">Tous les 5 à 10 ans</t>
  </si>
  <si>
    <t xml:space="preserve">Cuve presque vide</t>
  </si>
  <si>
    <t xml:space="preserve">Prestataire agréé</t>
  </si>
  <si>
    <t xml:space="preserve">Pompage des boues de fond, contrôle de l'étanchéité et de la cuvette de rétention, vérification de l'event et de la jauge.</t>
  </si>
  <si>
    <t xml:space="preserve">Fuite = depollution des sols à la charge du propriétaire (plusieurs dizaines de milliers d'euros)</t>
  </si>
  <si>
    <t xml:space="preserve">T-027</t>
  </si>
  <si>
    <t xml:space="preserve">Manœuvre du groupe de sécurité</t>
  </si>
  <si>
    <t xml:space="preserve">Tourner la manette du groupe de sécurité en position vidange quelques secondes jusqu'à ce que l'eau coule franchement, puis refermer. Cela évite que le clapet ne se bloque par le calcaire.</t>
  </si>
  <si>
    <t xml:space="preserve">Groupe grippé = surpression et risque d'éclatement du ballon</t>
  </si>
  <si>
    <t xml:space="preserve">T-028</t>
  </si>
  <si>
    <t xml:space="preserve">Détartrage et contrôle de l'anode magnésium</t>
  </si>
  <si>
    <t xml:space="preserve">Tous les 2 ans (annuel en eau très dure)</t>
  </si>
  <si>
    <t xml:space="preserve">Hors période de forte demande</t>
  </si>
  <si>
    <t xml:space="preserve">Plombier</t>
  </si>
  <si>
    <t xml:space="preserve">Vidange du ballon, démontage de la platine, détartrage de la résistance et de la cuve, contrôle et remplacement de l'anode si elle est consommée à plus de 50%, remplacement du joint de bride.</t>
  </si>
  <si>
    <t xml:space="preserve">Anode consommée = cuve percée et remplacement complet (800 à 1500 EUR)</t>
  </si>
  <si>
    <t xml:space="preserve">T-029</t>
  </si>
  <si>
    <t xml:space="preserve">Réglage de la température de consigne</t>
  </si>
  <si>
    <t xml:space="preserve">À la mise en service</t>
  </si>
  <si>
    <t xml:space="preserve">Tournevis</t>
  </si>
  <si>
    <t xml:space="preserve">Régler entre 55 et 60 degrés : en dessous, risque de legionelle ; au-dessus, entartrage accéléré et brûlures.</t>
  </si>
  <si>
    <t xml:space="preserve">Risque sanitaire ou entartrage prématuré</t>
  </si>
  <si>
    <t xml:space="preserve">T-030</t>
  </si>
  <si>
    <t xml:space="preserve">Entretien biennal du chauffe-eau thermodynamique</t>
  </si>
  <si>
    <t xml:space="preserve">Nettoyage de l'evaporateur et du filtre d'air, contrôle du circuit frigorifique, de l'anode et des condensats.</t>
  </si>
  <si>
    <t xml:space="preserve">Obligation légale, bascule permanente sur la résistance électrique d'appoint</t>
  </si>
  <si>
    <t xml:space="preserve">T-031</t>
  </si>
  <si>
    <t xml:space="preserve">Nettoyage du filtre à air</t>
  </si>
  <si>
    <t xml:space="preserve">Tous les 3 mois</t>
  </si>
  <si>
    <t xml:space="preserve">Aspirateur, eau tiède</t>
  </si>
  <si>
    <t xml:space="preserve">Retirer le filtre à l'arrière ou au-dessus de l'appareil, aspirer puis rincer, sécher avant remontage.</t>
  </si>
  <si>
    <t xml:space="preserve">COP dégradé, appareil qui fonctionne en mode électrique pur</t>
  </si>
  <si>
    <t xml:space="preserve">T-032</t>
  </si>
  <si>
    <t xml:space="preserve">Contrôle du circuit solaire</t>
  </si>
  <si>
    <t xml:space="preserve">Contrôle du pH et du point de congélation du glycol, de la pression du circuit primaire, de l'état du vase d'expansion et de la sonde capteur.</t>
  </si>
  <si>
    <t xml:space="preserve">Glycol acidifie = corrosion des capteurs et du ballon</t>
  </si>
  <si>
    <t xml:space="preserve">T-033</t>
  </si>
  <si>
    <t xml:space="preserve">Remplissage du bac à sel</t>
  </si>
  <si>
    <t xml:space="preserve">Sacs de sel pastilles</t>
  </si>
  <si>
    <t xml:space="preserve">Maintenir le niveau de sel au-dessus du niveau d'eau. Vérifier l'absence de croûte de sel agglomérée au fond : la casser si besoin.</t>
  </si>
  <si>
    <t xml:space="preserve">Pont de sel = adoucisseur inopérant sans alerte</t>
  </si>
  <si>
    <t xml:space="preserve">T-034</t>
  </si>
  <si>
    <t xml:space="preserve">Désinfection de l'adoucisseur et contrôle de la dureté</t>
  </si>
  <si>
    <t xml:space="preserve">Désinfectant pour résine, bandelettes de test</t>
  </si>
  <si>
    <t xml:space="preserve">Lancer un cycle de désinfection selon la notice. Mesurer la dureté en sortie avec les bandelettes : viser 8 à 12 degrés français, pas 0.</t>
  </si>
  <si>
    <t xml:space="preserve">Prolifération bactérienne dans la résine, eau trop douce et corrosive pour les canalisations</t>
  </si>
  <si>
    <t xml:space="preserve">T-035</t>
  </si>
  <si>
    <t xml:space="preserve">Nettoyage des bouches d'extraction</t>
  </si>
  <si>
    <t xml:space="preserve">Eau savonneuse, brosse</t>
  </si>
  <si>
    <t xml:space="preserve">Déposer les bouches en les dévissant, les faire tremper dans de l'eau chaude savonneuse, brosser, sécher. Repérer leur position d'origine : les bouches de cuisine et de salle de bains ne sont pas interchangeables.</t>
  </si>
  <si>
    <t xml:space="preserve">Condensation, moisissures dans les pièces humides</t>
  </si>
  <si>
    <t xml:space="preserve">T-036</t>
  </si>
  <si>
    <t xml:space="preserve">Nettoyage du caisson et contrôle du moteur</t>
  </si>
  <si>
    <t xml:space="preserve">Hors hiver</t>
  </si>
  <si>
    <t xml:space="preserve">Pro ou particulier bricoleur</t>
  </si>
  <si>
    <t xml:space="preserve">Couper l'alimentation. Dépoussiérer la turbine et le caisson, contrôler les fixations et l'état des gaines souples (écrasement, percements).</t>
  </si>
  <si>
    <t xml:space="preserve">Turbine déséquilibrée, bruit, débit effondré</t>
  </si>
  <si>
    <t xml:space="preserve">T-037</t>
  </si>
  <si>
    <t xml:space="preserve">Remplacement des filtres de la VMC double flux</t>
  </si>
  <si>
    <t xml:space="preserve">Tous les 3 à 6 mois</t>
  </si>
  <si>
    <t xml:space="preserve">Jeu de filtres (G4 et F7 en général)</t>
  </si>
  <si>
    <t xml:space="preserve">Couper la centrale. Noter la date au feutre sur le filtre neuf. En zone pollinique ou proche d'un axe routier, passer à 3 mois.</t>
  </si>
  <si>
    <t xml:space="preserve">Filtres saturés = débit nul, rendement de récupération perdu, surconsommation du moteur</t>
  </si>
  <si>
    <t xml:space="preserve">T-038</t>
  </si>
  <si>
    <t xml:space="preserve">Nettoyage de l'échangeur et du bac à condensats</t>
  </si>
  <si>
    <t xml:space="preserve">Été</t>
  </si>
  <si>
    <t xml:space="preserve">Extraire le bloc échangeur, le rincer à l'eau tiède, le laisser sécher. Vérifier que le siphon de condensats est amorcé et non bouché.</t>
  </si>
  <si>
    <t xml:space="preserve">Échangeur colmaté, eau stagnante, odeurs diffusées dans tout le logement</t>
  </si>
  <si>
    <t xml:space="preserve">T-039</t>
  </si>
  <si>
    <t xml:space="preserve">Nettoyage du filtre à graisse de la hotte</t>
  </si>
  <si>
    <t xml:space="preserve">Lave-vaisselle ou eau très chaude + bicarbonate</t>
  </si>
  <si>
    <t xml:space="preserve">Les filtres métalliques passent au lave-vaisselle en cycle intensif. Bien sécher avant remontage.</t>
  </si>
  <si>
    <t xml:space="preserve">Accumulation de graisse = cause fréquente de départ de feu en cuisine</t>
  </si>
  <si>
    <t xml:space="preserve">T-040</t>
  </si>
  <si>
    <t xml:space="preserve">Remplacement du filtre à charbon</t>
  </si>
  <si>
    <t xml:space="preserve">Tous les 6 mois (hotte recyclante)</t>
  </si>
  <si>
    <t xml:space="preserve">Filtre à charbon compatible</t>
  </si>
  <si>
    <t xml:space="preserve">Uniquement pour les hottes recyclantes (sans évacuation extérieure). Le charbon ne se lave pas, il se remplace.</t>
  </si>
  <si>
    <t xml:space="preserve">Odeurs de cuisine qui stagnent dans tout le logement</t>
  </si>
  <si>
    <t xml:space="preserve">T-041</t>
  </si>
  <si>
    <t xml:space="preserve">Nettoyage des entrées d'air des fenêtres</t>
  </si>
  <si>
    <t xml:space="preserve">Aspirateur, chiffon humide</t>
  </si>
  <si>
    <t xml:space="preserve">Déposer le capot des reglettes en haut des fenêtres, aspirer, essuyer. Ne jamais les obturer, même en hiver.</t>
  </si>
  <si>
    <t xml:space="preserve">Sans air neuf entrant, la VMC n'extrait rien et les appareils à combustion tirent mal</t>
  </si>
  <si>
    <t xml:space="preserve">T-042</t>
  </si>
  <si>
    <t xml:space="preserve">Nettoyage de la grille du condenseur</t>
  </si>
  <si>
    <t xml:space="preserve">Aspirateur avec brosse, goupillon</t>
  </si>
  <si>
    <t xml:space="preserve">Débrancher l'appareil, l'écarter du mur, aspirer la grille noire à l'arrière ou la grille basse selon le modèle. Laisser 5 cm de dégagement à l'arrière.</t>
  </si>
  <si>
    <t xml:space="preserve">Condenseur empoussiere = jusqu'à 25% de surconsommation et compresseur en surchauffe</t>
  </si>
  <si>
    <t xml:space="preserve">T-043</t>
  </si>
  <si>
    <t xml:space="preserve">Contrôle et nettoyage des joints de porte</t>
  </si>
  <si>
    <t xml:space="preserve">Eau savonneuse, coton-tige, feuille de papier</t>
  </si>
  <si>
    <t xml:space="preserve">Nettoyer la gorge du joint au coton-tige. Test : coincer une feuille de papier dans la porte fermée ; si elle glisse sans résistance, le joint est à remplacer.</t>
  </si>
  <si>
    <t xml:space="preserve">Joint usé = compresseur en marche permanente, givre, facture d'électricité en hausse</t>
  </si>
  <si>
    <t xml:space="preserve">T-044</t>
  </si>
  <si>
    <t xml:space="preserve">Debouchage de la gouttière d'évacuation</t>
  </si>
  <si>
    <t xml:space="preserve">Coton-tige, seringue d'eau tiède</t>
  </si>
  <si>
    <t xml:space="preserve">Localiser le petit orifice au fond de la paroi arrière du réfrigérateur. Le dégager délicatement et rincer à l'eau tiède.</t>
  </si>
  <si>
    <t xml:space="preserve">Eau stagnante dans le bac à légumes, odeurs, moisissures</t>
  </si>
  <si>
    <t xml:space="preserve">T-045</t>
  </si>
  <si>
    <t xml:space="preserve">Dégivrage du congélateur</t>
  </si>
  <si>
    <t xml:space="preserve">Tous les ans (ou des 3 mm de givre)</t>
  </si>
  <si>
    <t xml:space="preserve">Janvier ou avant les grosses courses</t>
  </si>
  <si>
    <t xml:space="preserve">Glacière, serpillières, bassine</t>
  </si>
  <si>
    <t xml:space="preserve">Transférer les denrées dans une glacière, débrancher, laisser fondre porte ouverte avec des serpillières au sol. Ne jamais gratter avec un objet métallique : perforer le circuit condamné l'appareil.</t>
  </si>
  <si>
    <t xml:space="preserve">3 mm de givre = environ 30% de surconsommation</t>
  </si>
  <si>
    <t xml:space="preserve">T-046</t>
  </si>
  <si>
    <t xml:space="preserve">Remplacement du filtre à eau</t>
  </si>
  <si>
    <t xml:space="preserve">Filtre d'origine compatible</t>
  </si>
  <si>
    <t xml:space="preserve">Localiser la cartouche (souvent en bas à droite ou dans le compartiment froid). Purger 2 à 3 litres après remplacement avant consommation.</t>
  </si>
  <si>
    <t xml:space="preserve">Goût désagréable, développement bactérien dans le circuit d'eau</t>
  </si>
  <si>
    <t xml:space="preserve">T-047</t>
  </si>
  <si>
    <t xml:space="preserve">Nettoyage du filtre de vidange</t>
  </si>
  <si>
    <t xml:space="preserve">Récipient plat, serpillière, chiffon</t>
  </si>
  <si>
    <t xml:space="preserve">Ouvrir la trappe en bas de l'appareil, placer un récipient, dévisser lentement le bouchon. Retirer pièces, cheveux et peluches. Rincer et revisser fermement.</t>
  </si>
  <si>
    <t xml:space="preserve">Pompe de vidange forcée puis HS, eau stagnante et odeurs</t>
  </si>
  <si>
    <t xml:space="preserve">T-048</t>
  </si>
  <si>
    <t xml:space="preserve">Nettoyage du joint de hublot</t>
  </si>
  <si>
    <t xml:space="preserve">Chiffon, vinaigre blanc ou bicarbonate</t>
  </si>
  <si>
    <t xml:space="preserve">Écarter le pli du joint sur tout le tour et essuyer. Laisser le hublot entrouvert après chaque lessive.</t>
  </si>
  <si>
    <t xml:space="preserve">Moisissure noire incrustée, odeur transmise au linge, joint à remplacer</t>
  </si>
  <si>
    <t xml:space="preserve">T-049</t>
  </si>
  <si>
    <t xml:space="preserve">Cycle de détartrage à vide</t>
  </si>
  <si>
    <t xml:space="preserve">Acide citrique (100 g) ou vinaigre blanc (500 ml)</t>
  </si>
  <si>
    <t xml:space="preserve">Machine vide, cycle le plus chaud (90 degrés), produit directement dans le tambour. Nettoyer ensuite le bac à lessive à l'eau chaude.</t>
  </si>
  <si>
    <t xml:space="preserve">Résistance entartrée = surconsommation puis panne (cause n.1 de mise au rebut)</t>
  </si>
  <si>
    <t xml:space="preserve">T-050</t>
  </si>
  <si>
    <t xml:space="preserve">Remplacement du tuyau d'alimentation</t>
  </si>
  <si>
    <t xml:space="preserve">Tous les 5 ans</t>
  </si>
  <si>
    <t xml:space="preserve">Tuyau neuf avec joints, pince multiprise</t>
  </si>
  <si>
    <t xml:space="preserve">Fermer l'arrivée d'eau, dévisser, remplacer joints compris. Prévoir un tuyau aquastop si l'appareil est à l'étage.</t>
  </si>
  <si>
    <t xml:space="preserve">Rupture du tuyau = dégât des eaux, première cause de sinistre habitation</t>
  </si>
  <si>
    <t xml:space="preserve">T-051</t>
  </si>
  <si>
    <t xml:space="preserve">Nettoyage du filtre à peluches</t>
  </si>
  <si>
    <t xml:space="preserve">À chaque cycle</t>
  </si>
  <si>
    <t xml:space="preserve">Retirer le voile de peluches à la main après chaque séchage. Rincer le filtre à l'eau une fois par mois pour éliminer le film d'adoucissant.</t>
  </si>
  <si>
    <t xml:space="preserve">Temps de séchage double, surchauffe, risque d'incendie</t>
  </si>
  <si>
    <t xml:space="preserve">T-052</t>
  </si>
  <si>
    <t xml:space="preserve">Nettoyage du condenseur</t>
  </si>
  <si>
    <t xml:space="preserve">Eau courante, brosse souple</t>
  </si>
  <si>
    <t xml:space="preserve">Déverrouiller la trappe basse, extraire le bloc condenseur, le rincer sous le robinet jusqu'à ce que l'eau ressorte claire, sécher et remonter.</t>
  </si>
  <si>
    <t xml:space="preserve">Condenseur colmaté = cycles interminables et surconsommation massive</t>
  </si>
  <si>
    <t xml:space="preserve">T-053</t>
  </si>
  <si>
    <t xml:space="preserve">Nettoyage du filtre de la pompe à chaleur</t>
  </si>
  <si>
    <t xml:space="preserve">Tous les 3 mois (modèles PAC)</t>
  </si>
  <si>
    <t xml:space="preserve">Filtre fin situé derrière le filtre principal. Aspirer puis rincer. Sur les sèche-linge PAC, c'est la pièce la plus souvent négligée.</t>
  </si>
  <si>
    <t xml:space="preserve">Evaporateur encrassé = panne du circuit frigorifique, réparation coûteuse</t>
  </si>
  <si>
    <t xml:space="preserve">T-054</t>
  </si>
  <si>
    <t xml:space="preserve">Nettoyage du filtre du lave-vaisselle</t>
  </si>
  <si>
    <t xml:space="preserve">Brosse à vaisselle, eau chaude</t>
  </si>
  <si>
    <t xml:space="preserve">Déverrouiller le filtre cylindrique au fond de la cuve, retirer les résidus, brosser la grille inox, rincer.</t>
  </si>
  <si>
    <t xml:space="preserve">Vaisselle qui ressort sale, odeurs, pompe bloquée</t>
  </si>
  <si>
    <t xml:space="preserve">T-055</t>
  </si>
  <si>
    <t xml:space="preserve">Debouchage des bras de lavage</t>
  </si>
  <si>
    <t xml:space="preserve">Cure-dent, aiguille</t>
  </si>
  <si>
    <t xml:space="preserve">Déposer les bras (souvent un quart de tour), dégager chaque buse avec un cure-dent, rincer, vérifier qu'ils tournent librement une fois remontés.</t>
  </si>
  <si>
    <t xml:space="preserve">Buses obstruées = zones non lavées, cycles relancés inutilement</t>
  </si>
  <si>
    <t xml:space="preserve">T-056</t>
  </si>
  <si>
    <t xml:space="preserve">Contrôle du sel régénérant et du liquide de rinçage</t>
  </si>
  <si>
    <t xml:space="preserve">Tous les 2 mois</t>
  </si>
  <si>
    <t xml:space="preserve">Sel régénérant spécifique, liquide de rinçage</t>
  </si>
  <si>
    <t xml:space="preserve">Remplir le réservoir de sel (jamais de sel de table). Régler la dureté de l'appareil sur celle de l'eau du réseau, disponible sur la facture d'eau.</t>
  </si>
  <si>
    <t xml:space="preserve">Traces blanches, entartrage de la résistance</t>
  </si>
  <si>
    <t xml:space="preserve">T-057</t>
  </si>
  <si>
    <t xml:space="preserve">Acide citrique ou produit spécifique</t>
  </si>
  <si>
    <t xml:space="preserve">Appareil vide, cycle le plus chaud avec le produit dans le panier supérieur.</t>
  </si>
  <si>
    <t xml:space="preserve">Résistance entartrée, cycles qui n'atteignent plus la température</t>
  </si>
  <si>
    <t xml:space="preserve">T-058</t>
  </si>
  <si>
    <t xml:space="preserve">Cycle de pyrolyse</t>
  </si>
  <si>
    <t xml:space="preserve">Aucun (retirer grilles et lechefrite)</t>
  </si>
  <si>
    <t xml:space="preserve">Retirer tous les accessoires non pyrolysables. Ventiler la pièce. Sortir les animaux domestiques, en particulier les oiseaux, sensibles aux vapeurs.</t>
  </si>
  <si>
    <t xml:space="preserve">Graisses carbonisées = fumées à chaque cuisson, joint attaqué</t>
  </si>
  <si>
    <t xml:space="preserve">T-059</t>
  </si>
  <si>
    <t xml:space="preserve">Contrôle du joint de porte du four</t>
  </si>
  <si>
    <t xml:space="preserve">Passer le doigt sur tout le pourtour : le joint doit être souple et sans cassure. Un joint durci se remplace, pièce disponible chez le fabricant.</t>
  </si>
  <si>
    <t xml:space="preserve">Perte de chaleur, cuissons irrégulières, surconsommation</t>
  </si>
  <si>
    <t xml:space="preserve">T-060</t>
  </si>
  <si>
    <t xml:space="preserve">Contrôle de la date de péremption du flexible gaz</t>
  </si>
  <si>
    <t xml:space="preserve">Lire la date imprimée sur la bague du flexible. Remplacer impérativement à échéance, même si le tuyau paraît intact. Privilégier un flexible à durée de vie illimitée avec embouts vissables.</t>
  </si>
  <si>
    <t xml:space="preserve">Fuite de gaz, explosion, non-couverture par l'assurance</t>
  </si>
  <si>
    <t xml:space="preserve">T-061</t>
  </si>
  <si>
    <t xml:space="preserve">Nettoyage des brûleurs et injecteurs</t>
  </si>
  <si>
    <t xml:space="preserve">Brosse métallique fine, aiguille, eau savonneuse</t>
  </si>
  <si>
    <t xml:space="preserve">Déposer chapeaux et couronnes, les faire tremper, dégager chaque orifice à l'aiguille. Une flamme doit être bleue et stable.</t>
  </si>
  <si>
    <t xml:space="preserve">Flamme jaune = combustion incomplète et production de monoxyde de carbone</t>
  </si>
  <si>
    <t xml:space="preserve">T-062</t>
  </si>
  <si>
    <t xml:space="preserve">Détartrage de la machine à café</t>
  </si>
  <si>
    <t xml:space="preserve">Tous les 1 à 3 mois selon dureté</t>
  </si>
  <si>
    <t xml:space="preserve">Détartrant spécifique ou acide citrique</t>
  </si>
  <si>
    <t xml:space="preserve">Lancer le programme de détartrage de l'appareil. En eau dure (au-delà de 25 degrés français), passer à un détartrage mensuel ou installer un filtre.</t>
  </si>
  <si>
    <t xml:space="preserve">Entartrage de la pompe : première cause de panne définitive</t>
  </si>
  <si>
    <t xml:space="preserve">T-063</t>
  </si>
  <si>
    <t xml:space="preserve">Nettoyage du groupe d'infusion et du circuit lait</t>
  </si>
  <si>
    <t xml:space="preserve">Hebdomadaire</t>
  </si>
  <si>
    <t xml:space="preserve">Eau tiède, pastilles degraissantes</t>
  </si>
  <si>
    <t xml:space="preserve">Rincer le groupe d'infusion amovible à l'eau claire sans détergent. Nettoyer le circuit lait après chaque usage, impérativement le jour même.</t>
  </si>
  <si>
    <t xml:space="preserve">Rancissement du circuit lait, goût altéré, contamination</t>
  </si>
  <si>
    <t xml:space="preserve">T-064</t>
  </si>
  <si>
    <t xml:space="preserve">Remplacement du filtre HEPA de l'aspirateur</t>
  </si>
  <si>
    <t xml:space="preserve">Filtre compatible</t>
  </si>
  <si>
    <t xml:space="preserve">Certains filtres sont lavables (rincer, sécher 24 h), d'autres se remplacent. Vérifier la notice : remonter un filtre humide endommage le moteur.</t>
  </si>
  <si>
    <t xml:space="preserve">Perte d'aspiration, rejet de particules fines, moteur en surchauffe</t>
  </si>
  <si>
    <t xml:space="preserve">T-065</t>
  </si>
  <si>
    <t xml:space="preserve">Entretien des brosses et capteurs du robot</t>
  </si>
  <si>
    <t xml:space="preserve">Peigne coupe-fils, chiffon microfibre sec</t>
  </si>
  <si>
    <t xml:space="preserve">Démonter la brosse centrale et couper les cheveux enroulés, nettoyer les brosses latérales, essuyer les capteurs de chute et la lentille de navigation.</t>
  </si>
  <si>
    <t xml:space="preserve">Moteur de brosse force, navigation erratique, chutes dans les escaliers</t>
  </si>
  <si>
    <t xml:space="preserve">T-066</t>
  </si>
  <si>
    <t xml:space="preserve">Détartrage des mousseurs de robinet</t>
  </si>
  <si>
    <t xml:space="preserve">Vinaigre blanc, pince, chiffon</t>
  </si>
  <si>
    <t xml:space="preserve">Dévisser l'embout, le faire tremper une nuit dans du vinaigre blanc, rincer, remonter.</t>
  </si>
  <si>
    <t xml:space="preserve">Débit réduit, projections, éclaboussures</t>
  </si>
  <si>
    <t xml:space="preserve">T-067</t>
  </si>
  <si>
    <t xml:space="preserve">Recherche de fuite par relevé de compteur</t>
  </si>
  <si>
    <t xml:space="preserve">Fermer tous les points d'eau, relever le compteur, attendre 2 h sans consommation, relever de nouveau. Toute différence signale une fuite. Commencer par les chasses d'eau.</t>
  </si>
  <si>
    <t xml:space="preserve">Une chasse d'eau qui fuit peut représenter 200 m3 par an</t>
  </si>
  <si>
    <t xml:space="preserve">T-068</t>
  </si>
  <si>
    <t xml:space="preserve">Contrôle du disconnecteur</t>
  </si>
  <si>
    <t xml:space="preserve">Pro habilité</t>
  </si>
  <si>
    <t xml:space="preserve">Obligatoire si le réseau d'arrosage ou un récupérateur d'eau de pluie est raccordé au réseau public. Contrôle du clapet et de la mise à l'air.</t>
  </si>
  <si>
    <t xml:space="preserve">Retour d'eau polluée dans le réseau public : responsabilité civile et pénale engagée</t>
  </si>
  <si>
    <t xml:space="preserve">T-069</t>
  </si>
  <si>
    <t xml:space="preserve">Nettoyage du filtre et de la cuve de récupération</t>
  </si>
  <si>
    <t xml:space="preserve">Tous les 6 mois (filtre) / 12 mois (cuve)</t>
  </si>
  <si>
    <t xml:space="preserve">Brosse, jet d'eau</t>
  </si>
  <si>
    <t xml:space="preserve">Nettoyer le filtre en amont de la cuve, vérifier le siphon anti-odeurs et le trop-plein. Tenir à jour le carnet sanitaire si l'eau alimente des WC ou un lave-linge.</t>
  </si>
  <si>
    <t xml:space="preserve">Eau chargée, colmatage de la pompe, non-conformité au contrôle</t>
  </si>
  <si>
    <t xml:space="preserve">T-070</t>
  </si>
  <si>
    <t xml:space="preserve">Contrôle de la pompe de relevage</t>
  </si>
  <si>
    <t xml:space="preserve">Seau d'eau</t>
  </si>
  <si>
    <t xml:space="preserve">Verser de l'eau pour déclencher le flotteur et vérifier le démarrage. Nettoyer la crépine et contrôler le clapet anti-retour.</t>
  </si>
  <si>
    <t xml:space="preserve">Inondation du sous-sol le jour du premier gros orage</t>
  </si>
  <si>
    <t xml:space="preserve">T-071</t>
  </si>
  <si>
    <t xml:space="preserve">Vidange de la fosse toutes eaux</t>
  </si>
  <si>
    <t xml:space="preserve">Des que les boues atteignent 50% du volume utile (environ 4 ans)</t>
  </si>
  <si>
    <t xml:space="preserve">Hors période de gel</t>
  </si>
  <si>
    <t xml:space="preserve">Vidangeur agréé par le préfet</t>
  </si>
  <si>
    <t xml:space="preserve">Faire mesurer la hauteur de boues. Exiger le bordereau de suivi des matières de vidange : c'est la pièce que le SPANC réclame au contrôle. Ne jamais faire nettoyer au jet haute pression, cela détruit la flore bactérienne.</t>
  </si>
  <si>
    <t xml:space="preserve">Colmatage de l'épandage, remontées d'eaux usées, non-conformité au contrôle</t>
  </si>
  <si>
    <t xml:space="preserve">T-072</t>
  </si>
  <si>
    <t xml:space="preserve">Préparation du contrôle périodique SPANC</t>
  </si>
  <si>
    <t xml:space="preserve">Au moins tous les 10 ans (souvent 4 à 8 selon la commune)</t>
  </si>
  <si>
    <t xml:space="preserve">Sur convocation</t>
  </si>
  <si>
    <t xml:space="preserve">Plan de l'installation, bordereaux de vidange</t>
  </si>
  <si>
    <t xml:space="preserve">Dégager les regards et tampons, rassembler le plan, les factures d'entretien et les bordereaux de vidange. Vérifier la hauteur de boues avant la visite.</t>
  </si>
  <si>
    <t xml:space="preserve">Avis de non-conformité, travaux imposés sous 4 ans, majoration de redevance</t>
  </si>
  <si>
    <t xml:space="preserve">T-073</t>
  </si>
  <si>
    <t xml:space="preserve">Nettoyage du bac à graisse</t>
  </si>
  <si>
    <t xml:space="preserve">Gants, raclette, sac étanche</t>
  </si>
  <si>
    <t xml:space="preserve">Retirer la croûte de graisse en surface, racler les parois, évacuer avec les ordures ménagères (jamais dans les canalisations).</t>
  </si>
  <si>
    <t xml:space="preserve">Graisses qui colmatent le pretraitement et l'épandage</t>
  </si>
  <si>
    <t xml:space="preserve">T-074</t>
  </si>
  <si>
    <t xml:space="preserve">Nettoyage du prefiltre</t>
  </si>
  <si>
    <t xml:space="preserve">Jet d'eau, gants</t>
  </si>
  <si>
    <t xml:space="preserve">Sortir les matériaux filtrants (pouzzolane), les rincer au jet au-dessus de la fosse, les remettre en place.</t>
  </si>
  <si>
    <t xml:space="preserve">Prefiltre colmaté = passage de matières vers l'épandage, qui se bouche définitivement</t>
  </si>
  <si>
    <t xml:space="preserve">T-075</t>
  </si>
  <si>
    <t xml:space="preserve">Maintenance annuelle de la micro-station</t>
  </si>
  <si>
    <t xml:space="preserve">Tous les ans (contrat)</t>
  </si>
  <si>
    <t xml:space="preserve">Contrôle du surpresseur, des diffuseurs d'air, de la recirculation des boues et mesure du taux de boues.</t>
  </si>
  <si>
    <t xml:space="preserve">Arrêt de la biomasse epuratoire, rejets non conformes, remise en route longue</t>
  </si>
  <si>
    <t xml:space="preserve">T-076</t>
  </si>
  <si>
    <t xml:space="preserve">Contrôle visuel de l'installation photovoltaique</t>
  </si>
  <si>
    <t xml:space="preserve">Jumelles depuis le sol</t>
  </si>
  <si>
    <t xml:space="preserve">Observer depuis le sol : salissures, fientes, mousses, ombrage nouveau (branche qui a poussé), modules déplacés après une tempête. Ne jamais monter sur la toiture sans équipement.</t>
  </si>
  <si>
    <t xml:space="preserve">Ombrage partiel = perte disproportionnée sur toute la chaîne de modules</t>
  </si>
  <si>
    <t xml:space="preserve">T-077</t>
  </si>
  <si>
    <t xml:space="preserve">Nettoyage des modules</t>
  </si>
  <si>
    <t xml:space="preserve">Tous les 1 à 2 ans</t>
  </si>
  <si>
    <t xml:space="preserve">Printemps, tôt le matin</t>
  </si>
  <si>
    <t xml:space="preserve">Prestataire équipé (travail en hauteur)</t>
  </si>
  <si>
    <t xml:space="preserve">Eau demineralisee et brosse douce, jamais de haute pression ni de détergent. Modules froids impérativement, sinon choc thermique.</t>
  </si>
  <si>
    <t xml:space="preserve">Salissures = 5 à 15% de production perdue</t>
  </si>
  <si>
    <t xml:space="preserve">T-078</t>
  </si>
  <si>
    <t xml:space="preserve">Relevé mensuel de la production</t>
  </si>
  <si>
    <t xml:space="preserve">Application du monitoring</t>
  </si>
  <si>
    <t xml:space="preserve">Comparer la production du mois à celle du même mois l'an dernier. Un écart supérieur à 10% signale un problème (onduleur, string hors service, salissure).</t>
  </si>
  <si>
    <t xml:space="preserve">Sous-production non détectée pendant des mois, perte sèche sur la revente</t>
  </si>
  <si>
    <t xml:space="preserve">T-079</t>
  </si>
  <si>
    <t xml:space="preserve">Contrôle de la borne de recharge</t>
  </si>
  <si>
    <t xml:space="preserve">Pro qualifié IRVE</t>
  </si>
  <si>
    <t xml:space="preserve">Contrôle du serrage des connexions, de l'état du câble et de la prise, test du différentiel dédié, vérification de la mise à la terre.</t>
  </si>
  <si>
    <t xml:space="preserve">Échauffement des contacts, déclenchements répétés, risque d'incendie</t>
  </si>
  <si>
    <t xml:space="preserve">T-080</t>
  </si>
  <si>
    <t xml:space="preserve">Test des interrupteurs différentiels</t>
  </si>
  <si>
    <t xml:space="preserve">Appuyer sur le bouton Test de chaque différentiel : il doit déclencher immédiatement. Reenclencher. Prévenir les occupants avant (coupure des appareils).</t>
  </si>
  <si>
    <t xml:space="preserve">Un différentiel grippé ne protège plus contre l'électrocution</t>
  </si>
  <si>
    <t xml:space="preserve">T-081</t>
  </si>
  <si>
    <t xml:space="preserve">Démarrage de maintien du groupe électrogène</t>
  </si>
  <si>
    <t xml:space="preserve">Carburant stabilisé</t>
  </si>
  <si>
    <t xml:space="preserve">Faire tourner 15 minutes en charge. Vidanger le carburant ou utiliser un stabilisant si l'appareil reste inutilisé plus de 3 mois.</t>
  </si>
  <si>
    <t xml:space="preserve">Carburateur encrassé : refus de démarrage le jour ou on en à besoin</t>
  </si>
  <si>
    <t xml:space="preserve">T-082</t>
  </si>
  <si>
    <t xml:space="preserve">Test du détecteur de fumée</t>
  </si>
  <si>
    <t xml:space="preserve">Appuyer sur le bouton test jusqu'au signal sonore. Dépoussiérer la grille à l'aspirateur tous les 6 mois.</t>
  </si>
  <si>
    <t xml:space="preserve">Un détecteur muet est un détecteur inutile</t>
  </si>
  <si>
    <t xml:space="preserve">T-083</t>
  </si>
  <si>
    <t xml:space="preserve">Remplacement du détecteur de fumée (10 ans après fabrication)</t>
  </si>
  <si>
    <t xml:space="preserve">10 ans après la date de fabrication imprimée au dos</t>
  </si>
  <si>
    <t xml:space="preserve">Selon échéance</t>
  </si>
  <si>
    <t xml:space="preserve">Détecteur neuf certifié NF EN 14604</t>
  </si>
  <si>
    <t xml:space="preserve">Remplacer l'appareil complet 10 ans après sa date de fabrication, ou dès qu'il signale sa fin de vie. Les modèles récents ont une pile scellée de 10 ans : rien à changer entre-temps. Sur un ancien modèle à pile remplaçable, changer la pile chaque année.</t>
  </si>
  <si>
    <t xml:space="preserve">Détecteur hors service sans que personne ne s'en aperçoive</t>
  </si>
  <si>
    <t xml:space="preserve">T-084</t>
  </si>
  <si>
    <t xml:space="preserve">Test du détecteur de monoxyde de carbone</t>
  </si>
  <si>
    <t xml:space="preserve">Bouton test mensuel. Positionner l'appareil à hauteur de respiration, dans la pièce où se trouve l'appareil à combustion, à 1 à 3 m de celui-ci.</t>
  </si>
  <si>
    <t xml:space="preserve">Le CO est inodore et incolore : sans détecteur, aucun signe avant-coureur</t>
  </si>
  <si>
    <t xml:space="preserve">T-085</t>
  </si>
  <si>
    <t xml:space="preserve">Test de l'alarme et remplacement des piles</t>
  </si>
  <si>
    <t xml:space="preserve">Test mensuel / piles annuelles</t>
  </si>
  <si>
    <t xml:space="preserve">Piles lithium des détecteurs</t>
  </si>
  <si>
    <t xml:space="preserve">Passer en mode test, déclencher chaque détecteur un par un, vérifier la transmission vers la centrale et la sirène.</t>
  </si>
  <si>
    <t xml:space="preserve">Détecteur muet ou fausses alarmes à répétition</t>
  </si>
  <si>
    <t xml:space="preserve">T-086</t>
  </si>
  <si>
    <t xml:space="preserve">Visite d'entretien de l'ascenseur</t>
  </si>
  <si>
    <t xml:space="preserve">Toutes les 6 semaines au maximum</t>
  </si>
  <si>
    <t xml:space="preserve">Ascensoriste sous contrat</t>
  </si>
  <si>
    <t xml:space="preserve">Obligation légale : contrat d'entretien et visite toutes les 6 semaines. Le carnet d'entretien doit être tenu à jour et conservable.</t>
  </si>
  <si>
    <t xml:space="preserve">T-087</t>
  </si>
  <si>
    <t xml:space="preserve">Contrôle technique quinquennal</t>
  </si>
  <si>
    <t xml:space="preserve">Organisme de contrôle agréé</t>
  </si>
  <si>
    <t xml:space="preserve">Contrôle indépendant de l'installation et de l'état de sécurité. Rapport à conserver et à annexer au carnet d'entretien.</t>
  </si>
  <si>
    <t xml:space="preserve">Non-conformité, mise à l'arrêt de l'appareil</t>
  </si>
  <si>
    <t xml:space="preserve">T-088</t>
  </si>
  <si>
    <t xml:space="preserve">Graissage et test des sécurités du portail</t>
  </si>
  <si>
    <t xml:space="preserve">Graisse silicone, chiffon</t>
  </si>
  <si>
    <t xml:space="preserve">Nettoyer le rail ou les gonds, graisser les articulations. Tester l'anti-écrasement en interposant un obstacle souple : le portail doit s'arrêter et repartir en arrière.</t>
  </si>
  <si>
    <t xml:space="preserve">Cellules desalignees ou anti-écrasement HS : risque d'accident grave, notamment pour un enfant</t>
  </si>
  <si>
    <t xml:space="preserve">T-089</t>
  </si>
  <si>
    <t xml:space="preserve">Nettoyage des cellules photoélectriques</t>
  </si>
  <si>
    <t xml:space="preserve">Chiffon microfibre</t>
  </si>
  <si>
    <t xml:space="preserve">Essuyer les deux lentilles, vérifier l'alignement (voyant fixe) et l'absence de végétation devant le faisceau.</t>
  </si>
  <si>
    <t xml:space="preserve">Portail qui refuse de se fermer ou se ferme sur un obstacle</t>
  </si>
  <si>
    <t xml:space="preserve">T-090</t>
  </si>
  <si>
    <t xml:space="preserve">Contrôle des ressorts et du câble de la porte de garage</t>
  </si>
  <si>
    <t xml:space="preserve">Lampe torche</t>
  </si>
  <si>
    <t xml:space="preserve">Inspecter visuellement les ressorts, câbles et galets. En cas de fil casse ou de ressort détendu, ne pas intervenir soi-même : la tension est mortelle.</t>
  </si>
  <si>
    <t xml:space="preserve">Rupture de ressort, chute brutale du tablier</t>
  </si>
  <si>
    <t xml:space="preserve">T-091</t>
  </si>
  <si>
    <t xml:space="preserve">Nettoyage et lubrification des volets roulants</t>
  </si>
  <si>
    <t xml:space="preserve">Aspirateur fin, lubrifiant silicone</t>
  </si>
  <si>
    <t xml:space="preserve">Aspirer les coulisses, pulvériser du silicone (jamais de graisse qui attire la poussière), manœuvrer plusieurs fois.</t>
  </si>
  <si>
    <t xml:space="preserve">Lames coincées, moteur forcé puis grille</t>
  </si>
  <si>
    <t xml:space="preserve">T-092</t>
  </si>
  <si>
    <t xml:space="preserve">Entretien des joints et de la quincaillerie des fenêtres</t>
  </si>
  <si>
    <t xml:space="preserve">Silicone, graisse pour quincaillerie, tournevis</t>
  </si>
  <si>
    <t xml:space="preserve">Nettoyer les joints et les nourrir au silicone. Graisser gâches et cremones. Régler la compression avec les excentriques si un courant d'air se fait sentir.</t>
  </si>
  <si>
    <t xml:space="preserve">Infiltrations, déperdition thermique, ferrure désaxée</t>
  </si>
  <si>
    <t xml:space="preserve">T-093</t>
  </si>
  <si>
    <t xml:space="preserve">Contrôle du dispositif de sécurité réglementaire</t>
  </si>
  <si>
    <t xml:space="preserve">Vérifier le bon état et le fonctionnement du dispositif retenu (barrière, alarme, couverture ou abri) et conserver l'attestation de conformité.</t>
  </si>
  <si>
    <t xml:space="preserve">Amende jusqu'à 45 000 EUR et, surtout, risque de noyade</t>
  </si>
  <si>
    <t xml:space="preserve">T-094</t>
  </si>
  <si>
    <t xml:space="preserve">Contre-lavage du filtre à sable</t>
  </si>
  <si>
    <t xml:space="preserve">Mai à septembre</t>
  </si>
  <si>
    <t xml:space="preserve">Aucun (vanne 6 voies)</t>
  </si>
  <si>
    <t xml:space="preserve">Pompe à l'arrêt, vanne sur Backwash, relancer 2 minutes jusqu'à ce que l'eau du voyant soit claire, puis Rinse 30 secondes, puis retour en Filtration. Faire l'appoint d'eau ensuite.</t>
  </si>
  <si>
    <t xml:space="preserve">Filtre colmaté = pression qui monte, filtration inefficace, eau trouble</t>
  </si>
  <si>
    <t xml:space="preserve">T-095</t>
  </si>
  <si>
    <t xml:space="preserve">Remplacement du sable du filtre</t>
  </si>
  <si>
    <t xml:space="preserve">Tous les 5 à 7 ans</t>
  </si>
  <si>
    <t xml:space="preserve">Sable de silice calibré ou verre filtrant</t>
  </si>
  <si>
    <t xml:space="preserve">Vidange du filtre, évacuation du sable aggloméré, remplissage neuf en respectant la granulometrie et le volume prévus par le constructeur.</t>
  </si>
  <si>
    <t xml:space="preserve">Sable aggloméré en blocs = filtration nulle malgré des contre-lavages</t>
  </si>
  <si>
    <t xml:space="preserve">T-096</t>
  </si>
  <si>
    <t xml:space="preserve">Nettoyage du prefiltre de pompe</t>
  </si>
  <si>
    <t xml:space="preserve">Couper la pompe, fermer les vannes, ouvrir le couvercle transparent, vider le panier des feuilles et insectes, rincer, refermer sans trop serrer.</t>
  </si>
  <si>
    <t xml:space="preserve">Pompe désamorcée puis joint de turbine grille</t>
  </si>
  <si>
    <t xml:space="preserve">T-097</t>
  </si>
  <si>
    <t xml:space="preserve">Hivernage de la filtration</t>
  </si>
  <si>
    <t xml:space="preserve">Novembre (eau sous 12 degrés)</t>
  </si>
  <si>
    <t xml:space="preserve">Bouchons d'hivernage, gizzmo, flotteurs, produit d'hivernage</t>
  </si>
  <si>
    <t xml:space="preserve">Baisser le niveau sous les buses, vidanger intégralement pompe et filtre, poser les bouchons, protéger le skimmer avec un gizzmo, ajouter le produit d'hivernage.</t>
  </si>
  <si>
    <t xml:space="preserve">Gel = pompe et filtre fendus, plusieurs centaines d'euros de remplacement</t>
  </si>
  <si>
    <t xml:space="preserve">T-098</t>
  </si>
  <si>
    <t xml:space="preserve">Remise en service au printemps</t>
  </si>
  <si>
    <t xml:space="preserve">Mars à avril (eau sous 15 degrés)</t>
  </si>
  <si>
    <t xml:space="preserve">Produits de traitement, épuisette, kit de test</t>
  </si>
  <si>
    <t xml:space="preserve">Retirer les bouchons, remonter le niveau, nettoyer le bassin, analyser l'eau, ajuster pH puis désinfectant, filtrer en continu 24 à 48 h.</t>
  </si>
  <si>
    <t xml:space="preserve">Démarrage trop tardif = eau verte et traitement de choc coûteux</t>
  </si>
  <si>
    <t xml:space="preserve">T-099</t>
  </si>
  <si>
    <t xml:space="preserve">Contrôle et détartrage de la cellule d'électrolyse</t>
  </si>
  <si>
    <t xml:space="preserve">Mensuel (contrôle) / annuel (détartrage)</t>
  </si>
  <si>
    <t xml:space="preserve">Vinaigre blanc ou acide dilué, gants</t>
  </si>
  <si>
    <t xml:space="preserve">Inspecter les plaques par transparence. Si le calcaire est visible, tremper la cellule dans une solution de détartrage, rincer abondamment à l'eau claire.</t>
  </si>
  <si>
    <t xml:space="preserve">Cellule entartrée = production de chlore nulle et eau qui verdit en 48 h</t>
  </si>
  <si>
    <t xml:space="preserve">T-100</t>
  </si>
  <si>
    <t xml:space="preserve">Test de l'alarme de piscine</t>
  </si>
  <si>
    <t xml:space="preserve">Déclencher volontairement le détecteur et vérifier la sirène. Remplacer la pile chaque année. C'est un équipement réglementaire, pas un accessoire.</t>
  </si>
  <si>
    <t xml:space="preserve">Dispositif de sécurité obligatoire inopérant : responsabilité pénale engagée</t>
  </si>
  <si>
    <t xml:space="preserve">T-101</t>
  </si>
  <si>
    <t xml:space="preserve">Nettoyage des filtres et vidange du spa</t>
  </si>
  <si>
    <t xml:space="preserve">Filtres mensuels / vidange trimestrielle</t>
  </si>
  <si>
    <t xml:space="preserve">Filtre de rechange, nettoyant de canalisations</t>
  </si>
  <si>
    <t xml:space="preserve">Rincer les cartouches chaque mois et les faire tremper dans un dégraissant. Vidanger tous les 3 mois en purgeant les canalisations avec un produit anti-biofilm.</t>
  </si>
  <si>
    <t xml:space="preserve">Biofilm dans les canalisations, risque de legionelle</t>
  </si>
  <si>
    <t xml:space="preserve">T-102</t>
  </si>
  <si>
    <t xml:space="preserve">Révision annuelle de la tondeuse thermique</t>
  </si>
  <si>
    <t xml:space="preserve">Mars, avant la saison</t>
  </si>
  <si>
    <t xml:space="preserve">Huile moteur, bougie, filtre à air, lime</t>
  </si>
  <si>
    <t xml:space="preserve">Vidanger l'huile moteur à chaud, remplacer la bougie et le filtre à air, affûter et équilibrer la lame, nettoyer le carter.</t>
  </si>
  <si>
    <t xml:space="preserve">Moteur grippé, lame émoussée qui arraché l'herbe au lieu de la couper</t>
  </si>
  <si>
    <t xml:space="preserve">T-103</t>
  </si>
  <si>
    <t xml:space="preserve">Préparation à l'hivernage</t>
  </si>
  <si>
    <t xml:space="preserve">Stabilisant carburant</t>
  </si>
  <si>
    <t xml:space="preserve">Vider le réservoir ou ajouter un stabilisant, faire tourner jusqu'à la panne sèche, nettoyer le carter, stocker au sec.</t>
  </si>
  <si>
    <t xml:space="preserve">Carburateur encrassé par le carburant vieilli : refus de démarrage au printemps</t>
  </si>
  <si>
    <t xml:space="preserve">T-104</t>
  </si>
  <si>
    <t xml:space="preserve">Remplacement des lames du robot tondeuse</t>
  </si>
  <si>
    <t xml:space="preserve">Tous les 2 à 3 mois</t>
  </si>
  <si>
    <t xml:space="preserve">Mars à octobre</t>
  </si>
  <si>
    <t xml:space="preserve">Jeu de lames et vis d'origine</t>
  </si>
  <si>
    <t xml:space="preserve">Retourner le robot, dévisser les lames, les remplacer toutes en même temps pour préserver l'équilibrage. Nettoyer le châssis à la brosse, jamais au jet.</t>
  </si>
  <si>
    <t xml:space="preserve">Lames émoussées = herbe déchirée, pelouse jaunissante, surconsommation</t>
  </si>
  <si>
    <t xml:space="preserve">T-105</t>
  </si>
  <si>
    <t xml:space="preserve">Hivernage du nettoyeur haute pression</t>
  </si>
  <si>
    <t xml:space="preserve">Antigel pour pompe</t>
  </si>
  <si>
    <t xml:space="preserve">Purger toute l'eau de la pompe et du flexible, aspirer un peu d'antigel, stocker hors gel.</t>
  </si>
  <si>
    <t xml:space="preserve">Corps de pompe fendu par le gel : appareil bon pour la casse</t>
  </si>
  <si>
    <t xml:space="preserve">T-106</t>
  </si>
  <si>
    <t xml:space="preserve">Purge hivernale de l'arrosage automatique</t>
  </si>
  <si>
    <t xml:space="preserve">Compresseur ou vannes de purge</t>
  </si>
  <si>
    <t xml:space="preserve">Couper l'alimentation, ouvrir les purges de point bas, souffler les réseaux à l'air comprimé si l'installation le permet, rentrer le programmateur.</t>
  </si>
  <si>
    <t xml:space="preserve">Canalisations et electrovannes éclatées par le gel</t>
  </si>
  <si>
    <t xml:space="preserve">T-107</t>
  </si>
  <si>
    <t xml:space="preserve">Contrôle de printemps des goutteurs et arroseurs</t>
  </si>
  <si>
    <t xml:space="preserve">Mars à avril</t>
  </si>
  <si>
    <t xml:space="preserve">Remettre en eau progressivement, faire tourner chaque zone, repérer goutteurs bouches, tuyères désaxées et fuites, reprogrammer selon la saison.</t>
  </si>
  <si>
    <t xml:space="preserve">Zones non arrosées et gaspillage d'eau ailleurs</t>
  </si>
  <si>
    <t xml:space="preserve">T-108</t>
  </si>
  <si>
    <t xml:space="preserve">Contrôle du flexible et des brûleurs du barbecue gaz</t>
  </si>
  <si>
    <t xml:space="preserve">Avril</t>
  </si>
  <si>
    <t xml:space="preserve">Vérifier la date du flexible. Test de fuite : badigeonner les raccords d'eau savonneuse, des bulles signalent une fuite. Dégager les orifices des brûleurs.</t>
  </si>
  <si>
    <t xml:space="preserve">T-109</t>
  </si>
  <si>
    <t xml:space="preserve">Nettoyage des gouttières</t>
  </si>
  <si>
    <t xml:space="preserve">2 fois par an</t>
  </si>
  <si>
    <t xml:space="preserve">Novembre (après la chute des feuilles) et avril</t>
  </si>
  <si>
    <t xml:space="preserve">Échelle stabilisée, gants, seau, jet d'eau</t>
  </si>
  <si>
    <t xml:space="preserve">Retirer feuilles et mousses, rincer vers les descentes, vérifier l'écoulement et l'état des crochets. Travail en hauteur : ne jamais opérer seul.</t>
  </si>
  <si>
    <t xml:space="preserve">Débordement le long des murs, humidité en pied de façade, gel qui déformé les chenaux</t>
  </si>
  <si>
    <t xml:space="preserve">T-110</t>
  </si>
  <si>
    <t xml:space="preserve">Contrôle visuel de la toiture</t>
  </si>
  <si>
    <t xml:space="preserve">Après les tempêtes d'automne</t>
  </si>
  <si>
    <t xml:space="preserve">Jumelles</t>
  </si>
  <si>
    <t xml:space="preserve">Observer depuis le sol ou une fenêtre en vis-à-vis : tuiles déplacées ou cassées, faitage, solins de cheminée, mousses. Ne jamais monter sur le toit sans sécurisation.</t>
  </si>
  <si>
    <t xml:space="preserve">Une tuile déplacée non vue = infiltration lente, charpente et isolant à reprendre</t>
  </si>
  <si>
    <t xml:space="preserve">T-111</t>
  </si>
  <si>
    <t xml:space="preserve">Demoussage et traitement de la couverture</t>
  </si>
  <si>
    <t xml:space="preserve">Entreprise de couverture</t>
  </si>
  <si>
    <t xml:space="preserve">Demoussage, traitement anti-mousse puis hydrofuge selon l'exposition. Vérifier que l'entreprise est assurée pour le travail en hauteur.</t>
  </si>
  <si>
    <t xml:space="preserve">Mousses retenant l'humidité, tuiles gelives qui éclatent</t>
  </si>
  <si>
    <t xml:space="preserve">T-112</t>
  </si>
  <si>
    <t xml:space="preserve">Nettoyage et saturateur de la terrasse bois</t>
  </si>
  <si>
    <t xml:space="preserve">Avril à mai</t>
  </si>
  <si>
    <t xml:space="preserve">Degriseur, saturateur, brosse, pinceau</t>
  </si>
  <si>
    <t xml:space="preserve">Nettoyer au degriseur, rincer, laisser sécher 48 h, appliquer le saturateur dans le sens des fibres. Jamais de nettoyeur haute pression, qui ouvre le bois.</t>
  </si>
  <si>
    <t xml:space="preserve">Grisaillement, échardes, lames qui se fendent et doivent être remplacées</t>
  </si>
  <si>
    <t xml:space="preserve">T-113</t>
  </si>
  <si>
    <t xml:space="preserve">Contrôle termites et insectes xylophages</t>
  </si>
  <si>
    <t xml:space="preserve">Tous les 3 à 5 ans</t>
  </si>
  <si>
    <t xml:space="preserve">Diagnostiqueur ou entreprise de traitement</t>
  </si>
  <si>
    <t xml:space="preserve">Inspection de la charpente, des bois en contact avec la maçonnerie et des points d'humidité. Obligatoire au titre du diagnostic termites à la vente dans les zones classées par arrêté préfectoral.</t>
  </si>
  <si>
    <t xml:space="preserve">Attaque détectée trop tard = reprise structurelle très lourde</t>
  </si>
  <si>
    <t xml:space="preserve">T-114</t>
  </si>
  <si>
    <t xml:space="preserve">Contrôle des combles</t>
  </si>
  <si>
    <t xml:space="preserve">Automne</t>
  </si>
  <si>
    <t xml:space="preserve">Chercher traces d'humidité, isolant tassé ou déplacé, déjections de rongeurs, jour visible au travers de la couverture.</t>
  </si>
  <si>
    <t xml:space="preserve">Isolant humide ou tassé : performance divisée par deux sans signe visible depuis l'intérieur</t>
  </si>
  <si>
    <t xml:space="preserve">T-115</t>
  </si>
  <si>
    <t xml:space="preserve">Contrôle de l'humidité du sous-sol</t>
  </si>
  <si>
    <t xml:space="preserve">Hygrometre</t>
  </si>
  <si>
    <t xml:space="preserve">Mesurer l'hygrometrie, chercher salpêtre, auréoles et odeur de moisi, vérifier que les aerations basses ne sont pas obstruées.</t>
  </si>
  <si>
    <t xml:space="preserve">Remontées capillaires, planchers bois dégradés, air vicié diffuse vers le logement</t>
  </si>
  <si>
    <t xml:space="preserve">T-116</t>
  </si>
  <si>
    <t xml:space="preserve">Archivage des attestations et factures d'entretien</t>
  </si>
  <si>
    <t xml:space="preserve">Décembre</t>
  </si>
  <si>
    <t xml:space="preserve">Scanner ou smartphone</t>
  </si>
  <si>
    <t xml:space="preserve">Numériser attestations de chaudière, certificats de ramonage, bordereaux de vidange, rapports de contrôle. Conserver au moins 5 ans : c'est ce que l'assureur réclame après un sinistre.</t>
  </si>
  <si>
    <t xml:space="preserve">Sans justificatif, l'assureur peut réduire ou refuser l'indemnisation</t>
  </si>
  <si>
    <t xml:space="preserve">T-117</t>
  </si>
  <si>
    <t xml:space="preserve">Clipser la façade, retirer les filtres, laver à l'eau tiède, sécher complètement à l'ombre. Un filtre remonté humide devient un nid à moisissures.</t>
  </si>
  <si>
    <t xml:space="preserve">Débit réduit, odeurs, allergenes rediffusés dans le logement</t>
  </si>
  <si>
    <t xml:space="preserve">T-118</t>
  </si>
  <si>
    <t xml:space="preserve">Entretien biennal du split</t>
  </si>
  <si>
    <t xml:space="preserve">Avril, avant la saison</t>
  </si>
  <si>
    <t xml:space="preserve">Contrôle d'étanchéité du circuit, désinfection de l'échangeur et du bac à condensats, contrôle des pressions et du serrage électrique.</t>
  </si>
  <si>
    <t xml:space="preserve">Obligation légale ; fuite de fluide frigorigene à fort pouvoir réchauffant</t>
  </si>
  <si>
    <t xml:space="preserve">T-119</t>
  </si>
  <si>
    <t xml:space="preserve">Debouchage de l'évacuation des condensats</t>
  </si>
  <si>
    <t xml:space="preserve">Souffleur, eau claire</t>
  </si>
  <si>
    <t xml:space="preserve">Vérifier que le tuyau de condensats s'écoulé librement. Un bouchon d'algues provoque un débordement dans le mur.</t>
  </si>
  <si>
    <t xml:space="preserve">Dégât des eaux derrière l'unité intérieure, taches au plafond de l'étage inférieur</t>
  </si>
  <si>
    <t xml:space="preserve">T-120</t>
  </si>
  <si>
    <t xml:space="preserve">Nettoyage du filtre et du bac du climatiseur mobile</t>
  </si>
  <si>
    <t xml:space="preserve">Tous les mois en usage</t>
  </si>
  <si>
    <t xml:space="preserve">Juin à septembre</t>
  </si>
  <si>
    <t xml:space="preserve">Eau tiède</t>
  </si>
  <si>
    <t xml:space="preserve">Rincer le filtre, vider le bac de condensats, vérifier que la gaine d'évacuation n'est pas pliée.</t>
  </si>
  <si>
    <t xml:space="preserve">Eau stagnante, odeurs, rendement de refroidissement divisé</t>
  </si>
  <si>
    <t xml:space="preserve">T-121</t>
  </si>
  <si>
    <t xml:space="preserve">Contrôle annuel d'étanchéité du circuit frigorifique</t>
  </si>
  <si>
    <t xml:space="preserve">Opérateur certifié, détecteur de fuite</t>
  </si>
  <si>
    <t xml:space="preserve">Contrôle obligatoire des 5 t CO2 eq de charge. Le professionnel renseigne la fiche d'intervention CERFA 15497.</t>
  </si>
  <si>
    <t xml:space="preserve">Sanction administrative ; une fuite de R410A équivaut à plusieurs tonnes de CO2</t>
  </si>
  <si>
    <t xml:space="preserve">T-122</t>
  </si>
  <si>
    <t xml:space="preserve">Entretien biennal de la PAC geothermique</t>
  </si>
  <si>
    <t xml:space="preserve">Pro qualifié geothermie</t>
  </si>
  <si>
    <t xml:space="preserve">Contrôle du circuit de captage, de la pression et du taux de glycol, des échangeurs et du circulateur.</t>
  </si>
  <si>
    <t xml:space="preserve">Obligation légale ; déperdition du champ de captage difficile à diagnostiquer tardivement</t>
  </si>
  <si>
    <t xml:space="preserve">T-123</t>
  </si>
  <si>
    <t xml:space="preserve">Contrôle du collecteur de plancher chauffant</t>
  </si>
  <si>
    <t xml:space="preserve">Clé de purge, chiffon</t>
  </si>
  <si>
    <t xml:space="preserve">Purger le collecteur, vérifier les debitmetres boucle par boucle et l'absence de suintement aux raccords.</t>
  </si>
  <si>
    <t xml:space="preserve">Boucles déséquilibrées, zones froides, colmatage progressif</t>
  </si>
  <si>
    <t xml:space="preserve">T-124</t>
  </si>
  <si>
    <t xml:space="preserve">Contrôle périodique de la citerne GPL</t>
  </si>
  <si>
    <t xml:space="preserve">Selon le contrat de fourniture</t>
  </si>
  <si>
    <t xml:space="preserve">Le contrôle est assuré par le distributeur dans le cadre du contrat. Vérifier que l'échéance figure bien au contrat et relancer si le passage n'a pas lieu.</t>
  </si>
  <si>
    <t xml:space="preserve">Risque d'explosion ; résiliation possible du contrat de fourniture</t>
  </si>
  <si>
    <t xml:space="preserve">T-125</t>
  </si>
  <si>
    <t xml:space="preserve">Remplacement des piles du thermostat</t>
  </si>
  <si>
    <t xml:space="preserve">Piles alcalines</t>
  </si>
  <si>
    <t xml:space="preserve">Remplacer avant la saison de chauffe. Sur thermostat connecté, vérifier aussi la liaison avec la chaudière après remplacement.</t>
  </si>
  <si>
    <t xml:space="preserve">Perte de liaison = chaudière qui tourne en continu ou reste éteinte</t>
  </si>
  <si>
    <t xml:space="preserve">T-126</t>
  </si>
  <si>
    <t xml:space="preserve">Entretien annuel du chauffe-eau gaz</t>
  </si>
  <si>
    <t xml:space="preserve">Pro qualifié PG</t>
  </si>
  <si>
    <t xml:space="preserve">Nettoyage du brûleur et du corps de chauffe, contrôle du tirage et de l'évacuation des fumées, mesure du taux de CO.</t>
  </si>
  <si>
    <t xml:space="preserve">Intoxication au monoxyde de carbone</t>
  </si>
  <si>
    <t xml:space="preserve">T-127</t>
  </si>
  <si>
    <t xml:space="preserve">Remplacement du groupe de sécurité</t>
  </si>
  <si>
    <t xml:space="preserve">Groupe de sécurité neuf, plombier</t>
  </si>
  <si>
    <t xml:space="preserve">Pièce d'usure à remplacer préventivement, même si elle fonctionne encore. À coupler avec le détartrage du ballon.</t>
  </si>
  <si>
    <t xml:space="preserve">Clapet grippé = surpression et risque d'éclatement du ballon</t>
  </si>
  <si>
    <t xml:space="preserve">T-128</t>
  </si>
  <si>
    <t xml:space="preserve">Contrôle du puits canadien</t>
  </si>
  <si>
    <t xml:space="preserve">Pro ou particulier équipé</t>
  </si>
  <si>
    <t xml:space="preserve">Vérifier l'évacuation des condensats, nettoyer le filtre de la borne de prise d'air et contrôler l'absence d'eau stagnante dans le conduit.</t>
  </si>
  <si>
    <t xml:space="preserve">Eau stagnante = développement microbien diffuse dans tout le logement</t>
  </si>
  <si>
    <t xml:space="preserve">T-129</t>
  </si>
  <si>
    <t xml:space="preserve">Remplacement du filtre à charbon de la cave à vin</t>
  </si>
  <si>
    <t xml:space="preserve">Le filtre assure le renouvellement d'air sans transmettre d'odeurs. Nettoyer également le bac de récupération d'eau.</t>
  </si>
  <si>
    <t xml:space="preserve">Hygrometrie instable, odeurs transmises aux bouchons</t>
  </si>
  <si>
    <t xml:space="preserve">T-130</t>
  </si>
  <si>
    <t xml:space="preserve">Entretien combiné du lave-linge séchant</t>
  </si>
  <si>
    <t xml:space="preserve">Trimestriel</t>
  </si>
  <si>
    <t xml:space="preserve">Brosse, acide citrique</t>
  </si>
  <si>
    <t xml:space="preserve">Cumuler les gestes du lave-linge et du sèche-linge : filtre de vidange, joint de hublot, condenseur et détartrage.</t>
  </si>
  <si>
    <t xml:space="preserve">Usure accélérée, cycles de séchage interminables</t>
  </si>
  <si>
    <t xml:space="preserve">T-131</t>
  </si>
  <si>
    <t xml:space="preserve">Nettoyage de la ventilation de la plaque à induction</t>
  </si>
  <si>
    <t xml:space="preserve">Aspirateur à embout fin</t>
  </si>
  <si>
    <t xml:space="preserve">Aspirer la grille de ventilation sous le plan de travail ou en façade de meuble. L'électronique d'induction chauffe et doit respirer.</t>
  </si>
  <si>
    <t xml:space="preserve">Surchauffe de l'électronique, coupures en cours de cuisson, carte à remplacer</t>
  </si>
  <si>
    <t xml:space="preserve">T-132</t>
  </si>
  <si>
    <t xml:space="preserve">Contrôle du joint de porte du micro-ondes</t>
  </si>
  <si>
    <t xml:space="preserve">Inspecter le pourtour de la porte et la grille : ni déformation, ni corrosion, ni jeu à la fermeture.</t>
  </si>
  <si>
    <t xml:space="preserve">Fuite de micro-ondes si le joint ou la charnière est abîmé</t>
  </si>
  <si>
    <t xml:space="preserve">T-133</t>
  </si>
  <si>
    <t xml:space="preserve">Remplacement des filtres du purificateur d'air</t>
  </si>
  <si>
    <t xml:space="preserve">Tous les 6 à 12 mois</t>
  </si>
  <si>
    <t xml:space="preserve">Jeu de filtres d'origine</t>
  </si>
  <si>
    <t xml:space="preserve">Noter la date au feutre sur le filtre neuf. Le prefiltre lavable se rince tous les mois, le HEPA se remplace.</t>
  </si>
  <si>
    <t xml:space="preserve">Filtre saturé = rejet des particules accumulées dans la pièce</t>
  </si>
  <si>
    <t xml:space="preserve">T-134</t>
  </si>
  <si>
    <t xml:space="preserve">Nettoyage du réservoir et du filtre du deshumidificateur</t>
  </si>
  <si>
    <t xml:space="preserve">Eau savonneuse</t>
  </si>
  <si>
    <t xml:space="preserve">Vider et laver le réservoir, rincer le filtre à l'entrée d'air, vérifier que la sonde d'hygrometrie n'est pas encrassée.</t>
  </si>
  <si>
    <t xml:space="preserve">Développement bactérien dans le bac, air rejeté vicié</t>
  </si>
  <si>
    <t xml:space="preserve">T-135</t>
  </si>
  <si>
    <t xml:space="preserve">Détartrage de la centrale vapeur</t>
  </si>
  <si>
    <t xml:space="preserve">Eau demineralisee, détartrant</t>
  </si>
  <si>
    <t xml:space="preserve">Lancer le cycle de rinçage de la chaudière prévu par le fabricant. Utiliser de l'eau demineralisee si l'eau du réseau dépasse 25 degrés français.</t>
  </si>
  <si>
    <t xml:space="preserve">Projection de calcaire sur le linge puis panne de la chaudière</t>
  </si>
  <si>
    <t xml:space="preserve">T-136</t>
  </si>
  <si>
    <t xml:space="preserve">Relevé mensuel du compteur d'eau</t>
  </si>
  <si>
    <t xml:space="preserve">Photo du compteur</t>
  </si>
  <si>
    <t xml:space="preserve">Photographier l'index chaque mois. Un écart inexpliqué signale une fuite bien avant la facture de régularisation.</t>
  </si>
  <si>
    <t xml:space="preserve">Fuite enterrée facturée au plein tarif pendant des mois</t>
  </si>
  <si>
    <t xml:space="preserve">T-137</t>
  </si>
  <si>
    <t xml:space="preserve">Déclaration et contrôle du puits ou forage</t>
  </si>
  <si>
    <t xml:space="preserve">Déclaration unique ; contrôle selon la commune</t>
  </si>
  <si>
    <t xml:space="preserve">CERFA 13837</t>
  </si>
  <si>
    <t xml:space="preserve">Déclarer l'ouvrage en mairie. Si le puits alimente le réseau intérieur, un contrôle du service des eaux est requis et une séparation stricte des réseaux est obligatoire.</t>
  </si>
  <si>
    <t xml:space="preserve">Amende ; obligation de déconnexion du réseau intérieur</t>
  </si>
  <si>
    <t xml:space="preserve">T-138</t>
  </si>
  <si>
    <t xml:space="preserve">Contrôle de la pression du surpresseur</t>
  </si>
  <si>
    <t xml:space="preserve">Couper la pompe, vidanger, contrôler la pression de gonflage du vase (généralement 0,2 bar sous la pression d'enclenchement) et regonfler.</t>
  </si>
  <si>
    <t xml:space="preserve">Cycles courts à répétition = usure rapide de la pompe et du contacteur</t>
  </si>
  <si>
    <t xml:space="preserve">T-139</t>
  </si>
  <si>
    <t xml:space="preserve">Contrôle du ballon tampon</t>
  </si>
  <si>
    <t xml:space="preserve">Pendant l'entretien de la chaudière</t>
  </si>
  <si>
    <t xml:space="preserve">Contrôle de la pression, de l'isolation et de l'anode si le ballon en est équipé.</t>
  </si>
  <si>
    <t xml:space="preserve">Corrosion interne, perte de stratification et donc de rendement</t>
  </si>
  <si>
    <t xml:space="preserve">T-140</t>
  </si>
  <si>
    <t xml:space="preserve">Curage préventif des canalisations</t>
  </si>
  <si>
    <t xml:space="preserve">Tous les 2 à 3 ans</t>
  </si>
  <si>
    <t xml:space="preserve">Entreprise de curage</t>
  </si>
  <si>
    <t xml:space="preserve">Hydrocurage des collecteurs depuis les regards. Profiter du passage pour faire inspecter à la caméra si la maison à plus de 40 ans.</t>
  </si>
  <si>
    <t xml:space="preserve">Bouchon, refoulement d'eaux usées dans le logement</t>
  </si>
  <si>
    <t xml:space="preserve">T-141</t>
  </si>
  <si>
    <t xml:space="preserve">Contrôle de la batterie de stockage</t>
  </si>
  <si>
    <t xml:space="preserve">Relevé de l'état de santé (SOH), contrôle de la ventilation du local et des connexions de puissance, mise à jour du firmware.</t>
  </si>
  <si>
    <t xml:space="preserve">Perte de capacité non détectée, risque thermique en cas de défaut cellule</t>
  </si>
  <si>
    <t xml:space="preserve">T-142</t>
  </si>
  <si>
    <t xml:space="preserve">Diagnostic de l'installation intérieure de gaz</t>
  </si>
  <si>
    <t xml:space="preserve">À la vente (3 ans) ou à la mise en location (6 ans)</t>
  </si>
  <si>
    <t xml:space="preserve">Avant signature</t>
  </si>
  <si>
    <t xml:space="preserve">Obligatoire si l'installation à plus de 15 ans. Contrôle de la tuyauterie fixe, du raccordement des appareils, de la ventilation et de l'évacuation des produits de combustion.</t>
  </si>
  <si>
    <t xml:space="preserve">Vente bloquée ; responsabilité du vendeur pour vice caché</t>
  </si>
  <si>
    <t xml:space="preserve">T-143</t>
  </si>
  <si>
    <t xml:space="preserve">Vérification annuelle de l'extincteur</t>
  </si>
  <si>
    <t xml:space="preserve">Société de maintenance incendie</t>
  </si>
  <si>
    <t xml:space="preserve">Contrôle de la pression, de la goupille et de l'état du flexible, apposition de l'étiquette datée. Requalification complète tous les 10 ans.</t>
  </si>
  <si>
    <t xml:space="preserve">Extincteur inopérant au moment ou il sert</t>
  </si>
  <si>
    <t xml:space="preserve">T-144</t>
  </si>
  <si>
    <t xml:space="preserve">Nettoyage et contrôle des caméras</t>
  </si>
  <si>
    <t xml:space="preserve">Nettoyer les optiques et les capteurs infrarouges, vérifier le cadrage après les tempêtes, purger les enregistrements anciens conformément au RGPD.</t>
  </si>
  <si>
    <t xml:space="preserve">Images inexploitables au moment ou on en à besoin</t>
  </si>
  <si>
    <t xml:space="preserve">T-145</t>
  </si>
  <si>
    <t xml:space="preserve">Entretien de la platine de rue</t>
  </si>
  <si>
    <t xml:space="preserve">Chiffon, graisse silicone pour joints</t>
  </si>
  <si>
    <t xml:space="preserve">Nettoyer l'objectif et le clavier, vérifier l'étanchéité du capot et graisser le joint. La platine est exposée en permanence aux intempéries.</t>
  </si>
  <si>
    <t xml:space="preserve">Corrosion des contacts, platine muette</t>
  </si>
  <si>
    <t xml:space="preserve">T-146</t>
  </si>
  <si>
    <t xml:space="preserve">Entretien du store banne</t>
  </si>
  <si>
    <t xml:space="preserve">Brosse douce, savon neutre, graisse silicone</t>
  </si>
  <si>
    <t xml:space="preserve">Brosser la toile déployée et sèche, graisser les articulations des bras. Ne jamais enrouler une toile humide.</t>
  </si>
  <si>
    <t xml:space="preserve">Toile moisie à remplacer, bras bloqués, casse au premier coup de vent</t>
  </si>
  <si>
    <t xml:space="preserve">T-147</t>
  </si>
  <si>
    <t xml:space="preserve">Entretien biennal de la PAC de piscine</t>
  </si>
  <si>
    <t xml:space="preserve">Avril, à la remise en service</t>
  </si>
  <si>
    <t xml:space="preserve">Contrôle d'étanchéité du circuit frigorifique, nettoyage de l'evaporateur, contrôle du débit d'eau et du condenseur.</t>
  </si>
  <si>
    <t xml:space="preserve">Obligation légale ; échangeur entartré et fuite de fluide</t>
  </si>
  <si>
    <t xml:space="preserve">T-148</t>
  </si>
  <si>
    <t xml:space="preserve">Entretien du robot de piscine</t>
  </si>
  <si>
    <t xml:space="preserve">Après chaque usage (filtre) / annuel (brosses)</t>
  </si>
  <si>
    <t xml:space="preserve">Jet d'eau claire</t>
  </si>
  <si>
    <t xml:space="preserve">Rincer le filtre à l'eau claire après chaque session, vérifier les brosses et les chenilles, stocker à l'ombre et hors gel.</t>
  </si>
  <si>
    <t xml:space="preserve">Moteur encrassé, courroies rompues, appareil rarement réparable</t>
  </si>
  <si>
    <t xml:space="preserve">T-149</t>
  </si>
  <si>
    <t xml:space="preserve">Révision du taille-haie et de la debroussailleuse</t>
  </si>
  <si>
    <t xml:space="preserve">Mars</t>
  </si>
  <si>
    <t xml:space="preserve">Lime, huile de lame, filtre à air, bougie</t>
  </si>
  <si>
    <t xml:space="preserve">Affûter et huiler les lames, remplacer le filtre à air et la bougie, vérifier le fil ou la lame de coupe.</t>
  </si>
  <si>
    <t xml:space="preserve">Lames grippées, moteur noyé, coupe qui déchiré la végétation</t>
  </si>
  <si>
    <t xml:space="preserve">T-150</t>
  </si>
  <si>
    <t xml:space="preserve">Traitement du bois de l'abri de jardin</t>
  </si>
  <si>
    <t xml:space="preserve">Mai à juin, par temps sec</t>
  </si>
  <si>
    <t xml:space="preserve">Lasure ou saturateur, brosse, ponceuse</t>
  </si>
  <si>
    <t xml:space="preserve">Poncer légèrement, dépoussiérer, appliquer deux couches. Traiter en priorité les lisses basses et les pieds de poteaux, au contact du sol.</t>
  </si>
  <si>
    <t xml:space="preserve">Pourrissement des pieds de poteaux et de la toiture, structure à remplacer</t>
  </si>
  <si>
    <t xml:space="preserve">T-151</t>
  </si>
  <si>
    <t xml:space="preserve">Contrôle de la façade et des points singuliers</t>
  </si>
  <si>
    <t xml:space="preserve">Après l'hiver</t>
  </si>
  <si>
    <t xml:space="preserve">Chercher fissures, cloques d'enduit, joints dégradés autour des menuiseries et traces de ruissellement sous les appuis de fenêtre.</t>
  </si>
  <si>
    <t xml:space="preserve">Infiltration par microfissure ; ravalement pouvant être imposé par arrêté municipal</t>
  </si>
  <si>
    <t xml:space="preserve">T-152</t>
  </si>
  <si>
    <t xml:space="preserve">Contrôle technique de la voiture</t>
  </si>
  <si>
    <t xml:space="preserve">Tous les 2 ans (1er dans les 6 mois avant le 4e anniversaire)</t>
  </si>
  <si>
    <t xml:space="preserve">Centre de contrôle agréé, carte grise</t>
  </si>
  <si>
    <t xml:space="preserve">La date de première immatriculation figure sur la carte grise (champ B) : l'échéance en découle. Prendre rendez-vous dans le mois qui précède. En cas de contre-visite, les réparations doivent être contrôlées dans les 2 mois.</t>
  </si>
  <si>
    <t xml:space="preserve">T-153</t>
  </si>
  <si>
    <t xml:space="preserve">Contrôle technique du deux-roues</t>
  </si>
  <si>
    <t xml:space="preserve">Tous les 3 ans (1er entre 4,5 et 5 ans après la 1re immatriculation)</t>
  </si>
  <si>
    <t xml:space="preserve">Centre de contrôle agréé catégorie L, carte grise</t>
  </si>
  <si>
    <t xml:space="preserve">L'échéance dépend de la date de première immatriculation (carte grise, champ B). Les véhicules immatriculés avant 2022 suivent un calendrier transitoire. Choisir un centre agréé pour la catégorie L.</t>
  </si>
  <si>
    <t xml:space="preserve">T-154</t>
  </si>
  <si>
    <t xml:space="preserve">Révision annuelle du vélo électrique</t>
  </si>
  <si>
    <t xml:space="preserve">Réparateur vélo</t>
  </si>
  <si>
    <t xml:space="preserve">Contrôle des freins, de la transmission et des pneus, mise à jour du moteur si le fabricant la propose. Entre deux périodes d'usage, stocker la batterie à mi-charge, au sec et à température ambiante.</t>
  </si>
  <si>
    <t xml:space="preserve">Freinage dégradé, usure accélérée de la transmission, batterie qui perd de sa capacité</t>
  </si>
  <si>
    <t xml:space="preserve">Questionnaire d'accueil : premiere utilisation et nouveau lieu</t>
  </si>
  <si>
    <t xml:space="preserve">Une ligne = une reponse possible. Chaque obligation a sa propre question de date (onglet Questions de date, seed/date_questions.json), qui nomme l'appareil et l'intervention. Réponses graduées avec le vrai délai de l'obligation : mois et année → calcul normal ; « Il y a moins de {délai} », sans date précise → à confirmer (orange) ; « Il y a plus de {délai} » → en retard (rouge) ; « Jamais ou je ne sais pas », un seul bouton en dernière position → en retard, prioritaire. Les dates se choisissent dans deux listes (mois en toutes lettres, année) et s'affichent « septembre 2026 », jamais avec un jour.</t>
  </si>
  <si>
    <t xml:space="preserve">Bloc</t>
  </si>
  <si>
    <t xml:space="preserve">Ordre</t>
  </si>
  <si>
    <t xml:space="preserve">Question</t>
  </si>
  <si>
    <t xml:space="preserve">Type de reponse</t>
  </si>
  <si>
    <t xml:space="preserve">Reponse</t>
  </si>
  <si>
    <t xml:space="preserve">Types crees</t>
  </si>
  <si>
    <t xml:space="preserve">Question de suivi</t>
  </si>
  <si>
    <t xml:space="preserve">Aide</t>
  </si>
  <si>
    <t xml:space="preserve">Suivi : types crees si oui</t>
  </si>
  <si>
    <t xml:space="preserve">Ne pas poser si</t>
  </si>
  <si>
    <t xml:space="preserve">Renseigne</t>
  </si>
  <si>
    <t xml:space="preserve">Statut initial</t>
  </si>
  <si>
    <t xml:space="preserve">Q01</t>
  </si>
  <si>
    <t xml:space="preserve">Contexte</t>
  </si>
  <si>
    <t xml:space="preserve">Ce logement est :</t>
  </si>
  <si>
    <t xml:space="preserve">Choix unique</t>
  </si>
  <si>
    <t xml:space="preserve">Votre résidence principale</t>
  </si>
  <si>
    <t xml:space="preserve">Type de bien : résidence principale.</t>
  </si>
  <si>
    <t xml:space="preserve">property_type = main_home</t>
  </si>
  <si>
    <t xml:space="preserve">Une résidence secondaire</t>
  </si>
  <si>
    <t xml:space="preserve">Active les tâches d'hivernage et de remise en service.</t>
  </si>
  <si>
    <t xml:space="preserve">property_type = second_home</t>
  </si>
  <si>
    <t xml:space="preserve">Un logement loué à l'année</t>
  </si>
  <si>
    <t xml:space="preserve">Les tâches à la charge de l'occupant (entretien de la chaudière, ramonage, entretien du détecteur) reviennent au locataire : elles sont affichées pour information.</t>
  </si>
  <si>
    <t xml:space="preserve">property_type = long_term_rental</t>
  </si>
  <si>
    <t xml:space="preserve">Un logement loué en courte durée</t>
  </si>
  <si>
    <t xml:space="preserve">Toutes les obligations restent à votre charge.</t>
  </si>
  <si>
    <t xml:space="preserve">property_type = short_term_rental</t>
  </si>
  <si>
    <t xml:space="preserve">Q02</t>
  </si>
  <si>
    <t xml:space="preserve">Obligations</t>
  </si>
  <si>
    <t xml:space="preserve">Comment le logement est-il principalement chauffé ?</t>
  </si>
  <si>
    <t xml:space="preserve">Chaudière au gaz de ville</t>
  </si>
  <si>
    <t xml:space="preserve">Est-elle raccordée à un conduit de cheminée, et non à une ventouse (un tuyau qui sort directement du mur) ?</t>
  </si>
  <si>
    <t xml:space="preserve">Chaudière au propane (citerne)</t>
  </si>
  <si>
    <t xml:space="preserve">CH-01, CH-16</t>
  </si>
  <si>
    <t xml:space="preserve">Chaudière au fioul</t>
  </si>
  <si>
    <t xml:space="preserve">CH-02, CH-15, CH-07</t>
  </si>
  <si>
    <t xml:space="preserve">Crée aussi la cuve et le conduit de fumée.</t>
  </si>
  <si>
    <t xml:space="preserve">Chaudière bois ou granulés</t>
  </si>
  <si>
    <t xml:space="preserve">CH-03, CH-07</t>
  </si>
  <si>
    <t xml:space="preserve">Crée aussi le conduit de fumée.</t>
  </si>
  <si>
    <t xml:space="preserve">Poêle ou insert à bois</t>
  </si>
  <si>
    <t xml:space="preserve">CH-05, CH-07</t>
  </si>
  <si>
    <t xml:space="preserve">Poêle à granulés</t>
  </si>
  <si>
    <t xml:space="preserve">CH-04, CH-07</t>
  </si>
  <si>
    <t xml:space="preserve">Pompe à chaleur avec radiateurs ou plancher chauffant</t>
  </si>
  <si>
    <t xml:space="preserve">Pompe à chaleur air/eau.</t>
  </si>
  <si>
    <t xml:space="preserve">Pompe à chaleur qui souffle de l'air (clim réversible)</t>
  </si>
  <si>
    <t xml:space="preserve">Obligation à confirmer selon la puissance, à partir de 4 kW.</t>
  </si>
  <si>
    <t xml:space="preserve">Géothermie</t>
  </si>
  <si>
    <t xml:space="preserve">Radiateurs électriques</t>
  </si>
  <si>
    <t xml:space="preserve">Pas d'obligation : entretien seulement.</t>
  </si>
  <si>
    <t xml:space="preserve">Je ne sais pas</t>
  </si>
  <si>
    <t xml:space="preserve">Indice : une chaudière se trouve souvent dans la cuisine, la buanderie, le garage ou la cave ; une pompe à chaleur a une unité extérieure.</t>
  </si>
  <si>
    <t xml:space="preserve">Q03</t>
  </si>
  <si>
    <t xml:space="preserve">Avez-vous aussi une cheminée, un insert ou un poêle ?</t>
  </si>
  <si>
    <t xml:space="preserve">Choix multiple</t>
  </si>
  <si>
    <t xml:space="preserve">Un conduit de fumée est créé pour chaque appareil raccordé.</t>
  </si>
  <si>
    <t xml:space="preserve">Q02 = Poêle ou insert à bois ; Q02 = Poêle à granulés</t>
  </si>
  <si>
    <t xml:space="preserve">Insert ou poêle à bois</t>
  </si>
  <si>
    <t xml:space="preserve">Q04</t>
  </si>
  <si>
    <t xml:space="preserve">Comment l'eau chaude est-elle produite ?</t>
  </si>
  <si>
    <t xml:space="preserve">Par le chauffage (chaudière ou pompe à chaleur)</t>
  </si>
  <si>
    <t xml:space="preserve">Déjà couvert par le chauffage.</t>
  </si>
  <si>
    <t xml:space="preserve">Ballon électrique (cumulus)</t>
  </si>
  <si>
    <t xml:space="preserve">Obligation à confirmer selon la puissance.</t>
  </si>
  <si>
    <t xml:space="preserve">Chauffe-eau au gaz</t>
  </si>
  <si>
    <t xml:space="preserve">Chauffe-eau solaire</t>
  </si>
  <si>
    <t xml:space="preserve">Indice : un ballon électrique est un grand cylindre, souvent dans un placard, la buanderie ou le garage.</t>
  </si>
  <si>
    <t xml:space="preserve">Q05</t>
  </si>
  <si>
    <t xml:space="preserve">Avez-vous la climatisation ?</t>
  </si>
  <si>
    <t xml:space="preserve">Oui, fixe (murale ou gainable)</t>
  </si>
  <si>
    <t xml:space="preserve">Q02 = Pompe à chaleur qui souffle de l'air (clim réversible)</t>
  </si>
  <si>
    <t xml:space="preserve">Un climatiseur mobile seulement</t>
  </si>
  <si>
    <t xml:space="preserve">Q06</t>
  </si>
  <si>
    <t xml:space="preserve">Cuisinez-vous au gaz ?</t>
  </si>
  <si>
    <t xml:space="preserve">CUIS-03, CUIS-04</t>
  </si>
  <si>
    <t xml:space="preserve">Indice : des brûleurs à flamme signalent une cuisson au gaz.</t>
  </si>
  <si>
    <t xml:space="preserve">Q07</t>
  </si>
  <si>
    <t xml:space="preserve">Le logement est-il raccordé au tout-à-l'égout ?</t>
  </si>
  <si>
    <t xml:space="preserve">Non, fosse septique ou fosse toutes eaux</t>
  </si>
  <si>
    <t xml:space="preserve">Non, micro-station d'épuration</t>
  </si>
  <si>
    <t xml:space="preserve">Indice : si votre facture d'eau comporte une ligne « assainissement collectif », le logement est raccordé.</t>
  </si>
  <si>
    <t xml:space="preserve">Q08</t>
  </si>
  <si>
    <t xml:space="preserve">Avez-vous une piscine enterrée ou semi-enterrée ?</t>
  </si>
  <si>
    <t xml:space="preserve">Oui, protégée par une barrière</t>
  </si>
  <si>
    <t xml:space="preserve">Oui, protégée par une alarme</t>
  </si>
  <si>
    <t xml:space="preserve">PIS-01, PIS-07</t>
  </si>
  <si>
    <t xml:space="preserve">Oui, protégée par une couverture ou un abri</t>
  </si>
  <si>
    <t xml:space="preserve">Oui, sans dispositif de sécurité</t>
  </si>
  <si>
    <t xml:space="preserve">Un dispositif de sécurité est obligatoire : l'obligation apparaîtra en retard.</t>
  </si>
  <si>
    <t xml:space="preserve">T-093 = jamais</t>
  </si>
  <si>
    <t xml:space="preserve">Q09</t>
  </si>
  <si>
    <t xml:space="preserve">Avez-vous un puits ou un forage ?</t>
  </si>
  <si>
    <t xml:space="preserve">Q10</t>
  </si>
  <si>
    <t xml:space="preserve">Un véhicule est-il rattaché à {residence} ?</t>
  </si>
  <si>
    <t xml:space="preserve">Voiture</t>
  </si>
  <si>
    <t xml:space="preserve">Rattachez chaque véhicule à un seul logement, celui où il est principalement garé, pour ne pas le compter deux fois.</t>
  </si>
  <si>
    <t xml:space="preserve">Q01 = Un logement loué à l'année ; Q01 = Un logement loué en courte durée</t>
  </si>
  <si>
    <t xml:space="preserve">Moto, scooter ou quadricycle</t>
  </si>
  <si>
    <t xml:space="preserve">Vélo électrique</t>
  </si>
  <si>
    <t xml:space="preserve">Q11</t>
  </si>
  <si>
    <t xml:space="preserve">Avez-vous un détecteur de fumée installé ?</t>
  </si>
  <si>
    <t xml:space="preserve">Obligatoire dans tout logement.</t>
  </si>
  <si>
    <t xml:space="preserve">Obligatoire dans tout logement : l'installation apparaîtra en retard.</t>
  </si>
  <si>
    <t xml:space="preserve">T-082 = jamais ; T-083 = jamais</t>
  </si>
  <si>
    <t xml:space="preserve">Indice : il se trouve en général au plafond d'un couloir ou d'un palier.</t>
  </si>
  <si>
    <t xml:space="preserve">T-083 = jamais</t>
  </si>
  <si>
    <t xml:space="preserve">REGLE-01</t>
  </si>
  <si>
    <t xml:space="preserve">Date du dernier passage</t>
  </si>
  <si>
    <t xml:space="preserve">Regle</t>
  </si>
  <si>
    <t xml:space="preserve">Pour chaque obligation créée</t>
  </si>
  <si>
    <t xml:space="preserve">Chaque obligation a sa propre question de date (onglet Questions de date, seed/date_questions.json), qui nomme l'appareil et l'intervention. Réponses graduées avec le vrai délai de l'obligation : mois et année → calcul normal ; « Il y a moins de {délai} », sans date précise → à confirmer (orange) ; « Il y a plus de {délai} » → en retard (rouge) ; « Jamais ou je ne sais pas », un seul bouton en dernière position → en retard, prioritaire. Les dates se choisissent dans deux listes (mois en toutes lettres, année) et s'affichent « septembre 2026 », jamais avec un jour.</t>
  </si>
  <si>
    <t xml:space="preserve">REGLE-02</t>
  </si>
  <si>
    <t xml:space="preserve">Réponse « Je ne sais pas »</t>
  </si>
  <si>
    <t xml:space="preserve">Pour chaque question d'obligation</t>
  </si>
  <si>
    <t xml:space="preserve">« Je ne sais pas » ne bloque jamais la progression : la réponse ajoute un point « à vérifier » sur l'écran d'accueil, avec l'aide associée pour trouver la réponse. Même règle pour les questions de suivi. À l'écran, c'est un bouton comme les autres, en dernière position.</t>
  </si>
  <si>
    <t xml:space="preserve">REGLE-03</t>
  </si>
  <si>
    <t xml:space="preserve">Appareil et conduit de fumée</t>
  </si>
  <si>
    <t xml:space="preserve">Pour chaque réponse créant un appareil et son conduit</t>
  </si>
  <si>
    <t xml:space="preserve">Quand une réponse crée un appareil à combustion et son conduit de fumée (poêle, insert, chaudière), une seule question de date couvre les deux : l'entretien et le ramonage se font au même passage. Un lien « faits séparément ? » permet de donner deux dates, ou d'indiquer que seul l'un des deux a été fait.</t>
  </si>
  <si>
    <t xml:space="preserve">REGLE-04</t>
  </si>
  <si>
    <t xml:space="preserve">Type de logement déjà connu</t>
  </si>
  <si>
    <t xml:space="preserve">Pour la question Q01</t>
  </si>
  <si>
    <t xml:space="preserve">La question Q01 n'est pas posée si le type de logement a déjà été renseigné à la création du lieu. Sa réponse est alors déduite du type du lieu, et les conditions qui en dépendent (skip_if) s'appliquent.</t>
  </si>
  <si>
    <t xml:space="preserve">REGLE-05</t>
  </si>
  <si>
    <t xml:space="preserve">Nom du logement dans les questions</t>
  </si>
  <si>
    <t xml:space="preserve">Pour les textes contenant {residence}</t>
  </si>
  <si>
    <t xml:space="preserve">Dans les textes, {residence} se remplace par « votre résidence principale » ou « votre résidence secondaire », selon le type du lieu.</t>
  </si>
  <si>
    <t xml:space="preserve">REGLE-06</t>
  </si>
  <si>
    <t xml:space="preserve">Statut initial fixé</t>
  </si>
  <si>
    <t xml:space="preserve">Pour les réponses qui fixent un statut</t>
  </si>
  <si>
    <t xml:space="preserve">Si une réponse fixe le statut initial d'une tâche (colonne Statut initial), sa question de date n'est pas posée.</t>
  </si>
  <si>
    <t xml:space="preserve">Q19</t>
  </si>
  <si>
    <t xml:space="preserve">Entretien</t>
  </si>
  <si>
    <t xml:space="preserve">Vos obligations légales sont prêtes. Voulez-vous aussi suivre l'entretien de vos autres appareils, pour les faire durer ?</t>
  </si>
  <si>
    <t xml:space="preserve">Oui, je les ajoute</t>
  </si>
  <si>
    <t xml:space="preserve">Réfrigérateur, lave-linge, lave-vaisselle… : vous cocherez ceux que vous avez.</t>
  </si>
  <si>
    <t xml:space="preserve">Non, plus tard</t>
  </si>
  <si>
    <t xml:space="preserve">Le lieu reste au niveau Aucun : seules les obligations légales sont suivies. Activable à tout moment depuis la page du lieu.</t>
  </si>
  <si>
    <t xml:space="preserve">maintenance_level = none</t>
  </si>
  <si>
    <t xml:space="preserve">Q20</t>
  </si>
  <si>
    <t xml:space="preserve">Quels appareils avez-vous ?</t>
  </si>
  <si>
    <t xml:space="preserve">Cases a cocher</t>
  </si>
  <si>
    <t xml:space="preserve">Q19 = Non, plus tard</t>
  </si>
  <si>
    <t xml:space="preserve">Sèche-linge</t>
  </si>
  <si>
    <t xml:space="preserve">Four</t>
  </si>
  <si>
    <t xml:space="preserve">Hotte</t>
  </si>
  <si>
    <t xml:space="preserve">Micro-ondes</t>
  </si>
  <si>
    <t xml:space="preserve">Machine à café</t>
  </si>
  <si>
    <t xml:space="preserve">Aspirateur</t>
  </si>
  <si>
    <t xml:space="preserve">VMC</t>
  </si>
  <si>
    <t xml:space="preserve">Simple flux par défaut ; double flux à préciser ensuite.</t>
  </si>
  <si>
    <t xml:space="preserve">Recommandé dès qu'un appareil à combustion est présent.</t>
  </si>
  <si>
    <t xml:space="preserve">Tondeuse</t>
  </si>
  <si>
    <t xml:space="preserve">Panneaux solaires</t>
  </si>
  <si>
    <t xml:space="preserve">ENE-01, ENE-02</t>
  </si>
  <si>
    <t xml:space="preserve">Crée aussi l'onduleur.</t>
  </si>
  <si>
    <t xml:space="preserve">Borne de recharge</t>
  </si>
  <si>
    <t xml:space="preserve">Gouttières</t>
  </si>
  <si>
    <t xml:space="preserve">Une question de date par obligation, avec le vrai delai legal</t>
  </si>
  <si>
    <t xml:space="preserve">Mois gradue : mois et annee | Il y a moins de {delai} | Il y a plus de {delai} | Jamais ou je ne sais pas (un seul bouton, en dernier). Affichage des dates : septembre 2026.</t>
  </si>
  <si>
    <t xml:space="preserve">Cle</t>
  </si>
  <si>
    <t xml:space="preserve">Appareil</t>
  </si>
  <si>
    <t xml:space="preserve">Type</t>
  </si>
  <si>
    <t xml:space="preserve">Delai</t>
  </si>
  <si>
    <t xml:space="preserve">Note</t>
  </si>
  <si>
    <t xml:space="preserve">Chaudière au gaz</t>
  </si>
  <si>
    <t xml:space="preserve">Quand la chaudière a-t-elle été entretenue pour la dernière fois ?</t>
  </si>
  <si>
    <t xml:space="preserve">Mois gradué</t>
  </si>
  <si>
    <t xml:space="preserve">un an</t>
  </si>
  <si>
    <t xml:space="preserve">Quand le poêle à granulés a-t-il été entretenu pour la dernière fois ?</t>
  </si>
  <si>
    <t xml:space="preserve">Quand le poêle ou l'insert a-t-il été entretenu pour la dernière fois ?</t>
  </si>
  <si>
    <t xml:space="preserve">Quand le conduit de fumée a-t-il été ramoné pour la dernière fois ?</t>
  </si>
  <si>
    <t xml:space="preserve">Posée seule quand l'appareil et le conduit ont été faits à des dates différentes.</t>
  </si>
  <si>
    <t xml:space="preserve">Quand la cheminée a-t-elle été ramonée pour la dernière fois ?</t>
  </si>
  <si>
    <t xml:space="preserve">T-001+T-014</t>
  </si>
  <si>
    <t xml:space="preserve">T-001, T-014</t>
  </si>
  <si>
    <t xml:space="preserve">Chaudière au gaz et son conduit</t>
  </si>
  <si>
    <t xml:space="preserve">Quand la chaudière a-t-elle été entretenue et son conduit ramoné pour la dernière fois ?</t>
  </si>
  <si>
    <t xml:space="preserve">Question commune à l'appareil et à son conduit (REGLE-03).</t>
  </si>
  <si>
    <t xml:space="preserve">T-004+T-014</t>
  </si>
  <si>
    <t xml:space="preserve">T-004, T-014</t>
  </si>
  <si>
    <t xml:space="preserve">Chaudière au fioul et son conduit</t>
  </si>
  <si>
    <t xml:space="preserve">T-006+T-014</t>
  </si>
  <si>
    <t xml:space="preserve">T-006, T-014</t>
  </si>
  <si>
    <t xml:space="preserve">Chaudière bois ou granulés et son conduit</t>
  </si>
  <si>
    <t xml:space="preserve">T-010+T-014</t>
  </si>
  <si>
    <t xml:space="preserve">T-010, T-014</t>
  </si>
  <si>
    <t xml:space="preserve">Poêle à granulés et son conduit</t>
  </si>
  <si>
    <t xml:space="preserve">Quand le poêle à granulés a-t-il été entretenu et son conduit ramoné pour la dernière fois ?</t>
  </si>
  <si>
    <t xml:space="preserve">T-013+T-014</t>
  </si>
  <si>
    <t xml:space="preserve">T-013, T-014</t>
  </si>
  <si>
    <t xml:space="preserve">Poêle ou insert à bois et son conduit</t>
  </si>
  <si>
    <t xml:space="preserve">Quand le poêle ou l'insert a-t-il été entretenu et son conduit ramoné pour la dernière fois ?</t>
  </si>
  <si>
    <t xml:space="preserve">Pompe à chaleur air/eau</t>
  </si>
  <si>
    <t xml:space="preserve">Quand la pompe à chaleur a-t-elle été entretenue pour la dernière fois ?</t>
  </si>
  <si>
    <t xml:space="preserve">2 ans</t>
  </si>
  <si>
    <t xml:space="preserve">Pompe à chaleur air/air</t>
  </si>
  <si>
    <t xml:space="preserve">Pompe à chaleur géothermique</t>
  </si>
  <si>
    <t xml:space="preserve">Quand la pompe à chaleur géothermique a-t-elle été entretenue pour la dernière fois ?</t>
  </si>
  <si>
    <t xml:space="preserve">Quand le chauffe-eau thermodynamique a-t-il été entretenu pour la dernière fois ?</t>
  </si>
  <si>
    <t xml:space="preserve">Quand le chauffe-eau au gaz a-t-il été entretenu pour la dernière fois ?</t>
  </si>
  <si>
    <t xml:space="preserve">Quand la climatisation a-t-elle été entretenue pour la dernière fois ?</t>
  </si>
  <si>
    <t xml:space="preserve">Quand la pompe à chaleur de la piscine a-t-elle été entretenue pour la dernière fois ?</t>
  </si>
  <si>
    <t xml:space="preserve">Circuit de climatisation</t>
  </si>
  <si>
    <t xml:space="preserve">Quand l'étanchéité du circuit de climatisation a-t-elle été contrôlée pour la dernière fois ?</t>
  </si>
  <si>
    <t xml:space="preserve">Citerne de propane</t>
  </si>
  <si>
    <t xml:space="preserve">Quand votre fournisseur de gaz a-t-il contrôlé la citerne pour la dernière fois ?</t>
  </si>
  <si>
    <t xml:space="preserve">5 ans</t>
  </si>
  <si>
    <t xml:space="preserve">Selon le contrat du fournisseur.</t>
  </si>
  <si>
    <t xml:space="preserve">Fosse septique</t>
  </si>
  <si>
    <t xml:space="preserve">Quand la fosse a-t-elle été vidangée pour la dernière fois ?</t>
  </si>
  <si>
    <t xml:space="preserve">4 ans</t>
  </si>
  <si>
    <t xml:space="preserve">Délai indicatif : la vidange dépend du niveau de boues.</t>
  </si>
  <si>
    <t xml:space="preserve">Quand le SPANC est-il venu contrôler l'installation pour la dernière fois ?</t>
  </si>
  <si>
    <t xml:space="preserve">La commune peut fixer un délai plus court.</t>
  </si>
  <si>
    <t xml:space="preserve">Micro-station</t>
  </si>
  <si>
    <t xml:space="preserve">Quand la micro-station a-t-elle été entretenue pour la dernière fois ?</t>
  </si>
  <si>
    <t xml:space="preserve">Ascenseur</t>
  </si>
  <si>
    <t xml:space="preserve">Quand l'ascenseur a-t-il passé son dernier contrôle technique ?</t>
  </si>
  <si>
    <t xml:space="preserve">Installation de gaz</t>
  </si>
  <si>
    <t xml:space="preserve">Quand le diagnostic de l'installation de gaz a-t-il été réalisé ?</t>
  </si>
  <si>
    <t xml:space="preserve">3 ans</t>
  </si>
  <si>
    <t xml:space="preserve">Exigé à la vente (valable 3 ans) ou à la mise en location (6 ans).</t>
  </si>
  <si>
    <t xml:space="preserve">Tuyau de gaz</t>
  </si>
  <si>
    <t xml:space="preserve">Quelle date de péremption est imprimée sur le tuyau de gaz de la cuisinière ?</t>
  </si>
  <si>
    <t xml:space="preserve">Péremption</t>
  </si>
  <si>
    <t xml:space="preserve">Mois et année, ou « Je ne trouve pas la date » (à confirmer). La date donnée devient l'échéance.</t>
  </si>
  <si>
    <t xml:space="preserve">Détecteur de fumée</t>
  </si>
  <si>
    <t xml:space="preserve">Quelle date est imprimée au dos du détecteur ?</t>
  </si>
  <si>
    <t xml:space="preserve">Fabrication</t>
  </si>
  <si>
    <t xml:space="preserve">Explication affichée : un détecteur se remplace 10 ans après sa fabrication. Mois et année, ou « Je ne la trouve pas » (à confirmer). Échéance = date + 10 ans.</t>
  </si>
  <si>
    <t xml:space="preserve">Quand la voiture a-t-elle passé son dernier contrôle technique ?</t>
  </si>
  <si>
    <t xml:space="preserve">Contrôle véhicule</t>
  </si>
  <si>
    <t xml:space="preserve">Option en plus : « Jamais, elle a moins de 4 ans ». On demande alors la date de première immatriculation ; échéance = cette date + 4 ans.</t>
  </si>
  <si>
    <t xml:space="preserve">Quand le véhicule a-t-il passé son dernier contrôle technique ?</t>
  </si>
  <si>
    <t xml:space="preserve">Option en plus : « Jamais, il a moins de 5 ans ». Échéance = date de première immatriculation + 5 ans.</t>
  </si>
  <si>
    <t xml:space="preserve">Puits ou forage</t>
  </si>
  <si>
    <t xml:space="preserve">Le puits est-il déclaré en mairie ?</t>
  </si>
  <si>
    <t xml:space="preserve">Oui / non</t>
  </si>
  <si>
    <t xml:space="preserve">Oui → à jour ; Non → en retard (à déclarer) ; Je ne sais pas → à confirmer.</t>
  </si>
  <si>
    <t xml:space="preserve">Test mensuel : démarre à la création.</t>
  </si>
  <si>
    <t xml:space="preserve">Visite toutes les 6 semaines : démarre à la création.</t>
  </si>
  <si>
    <t xml:space="preserve">Contrôle mensuel du dispositif : démarre à la création, sauf statut initial fixé par le questionnaire.</t>
  </si>
  <si>
    <t xml:space="preserve">Non générée</t>
  </si>
  <si>
    <t xml:space="preserve">Second ramonage : seulement au-delà de 6 m³ de bois ou 2,5 t de granulés par an.</t>
  </si>
  <si>
    <t xml:space="preserve">Aide adaptative a la marque : ou lire la plaque et quel identifiant valider</t>
  </si>
  <si>
    <t xml:space="preserve">Maintenu par groupe industriel : une dizaine de groupes couvrent l'essentiel du parc francais. Colonne Statut : ne pousser en production que les lignes verifiees.</t>
  </si>
  <si>
    <t xml:space="preserve">Groupe</t>
  </si>
  <si>
    <t xml:space="preserve">Marques couvertes</t>
  </si>
  <si>
    <t xml:space="preserve">Categories</t>
  </si>
  <si>
    <t xml:space="preserve">Identifiants a lire</t>
  </si>
  <si>
    <t xml:space="preserve">Regle de validation (indicative)</t>
  </si>
  <si>
    <t xml:space="preserve">Decodage date de fabrication</t>
  </si>
  <si>
    <t xml:space="preserve">Emplacements specifiques</t>
  </si>
  <si>
    <t xml:space="preserve">Particularites</t>
  </si>
  <si>
    <t xml:space="preserve">Source</t>
  </si>
  <si>
    <t xml:space="preserve">Statut</t>
  </si>
  <si>
    <t xml:space="preserve">BSH</t>
  </si>
  <si>
    <t xml:space="preserve">Bosch, Siemens, Neff, Gaggenau, Constructa</t>
  </si>
  <si>
    <t xml:space="preserve">Lavage, froid, cuisson, hottes</t>
  </si>
  <si>
    <t xml:space="preserve">E-Nr (référence modèle), FD (date de fabrication), Z-Nr / n. de série</t>
  </si>
  <si>
    <t xml:space="preserve">E-Nr : alphanumérique terminé par / et 1 à 2 chiffres (ex. B57CR22N0/01). FD : 4 chiffres</t>
  </si>
  <si>
    <t xml:space="preserve">Année = 2 premiers chiffres du FD + 1920 ; mois = 2 derniers (FD 9405 = mai 2014). Règle publiée jusqu'à FD 9912 (dec. 2019) : format postérieur à confirmer auprès de BSH</t>
  </si>
  <si>
    <t xml:space="preserve">Localisateur officiel par catégorie sur les sites de chaque marque ; en général au niveau de la porte</t>
  </si>
  <si>
    <t xml:space="preserve">Bosch propose déjà la lecture photo de sa plaque sur son site : preuve de faisabilité et benchmark</t>
  </si>
  <si>
    <t xml:space="preserve">https://www.bosch-home.fr/france/localiser-plaque-signaletique ; https://www.neff-home.com/fr/promotions/plaque-signaletique</t>
  </si>
  <si>
    <t xml:space="preserve">Vérifié (source officielle)</t>
  </si>
  <si>
    <t xml:space="preserve">Miele</t>
  </si>
  <si>
    <t xml:space="preserve">Tout le gros électroménager</t>
  </si>
  <si>
    <t xml:space="preserve">Référence du modèle, numéro de matériel, numéro de fabrication, numéro de série</t>
  </si>
  <si>
    <t xml:space="preserve">Format propre à Miele</t>
  </si>
  <si>
    <t xml:space="preserve">À documenter</t>
  </si>
  <si>
    <t xml:space="preserve">Tables de cuisson : plaque SOUS l'appareil</t>
  </si>
  <si>
    <t xml:space="preserve">Une 2e plaque est fournie pour être collée dans le mode d'emploi : c'est elle qu'il faut photographier pour une table encastrée</t>
  </si>
  <si>
    <t xml:space="preserve">https://www.miele.fr/c/plate-finder.htm</t>
  </si>
  <si>
    <t xml:space="preserve">Liebherr</t>
  </si>
  <si>
    <t xml:space="preserve">Réfrigérateurs, congélateurs, caves à vin</t>
  </si>
  <si>
    <t xml:space="preserve">Service no. et Serial no.</t>
  </si>
  <si>
    <t xml:space="preserve">Numéro à 9 chiffres (selon Liebherr)</t>
  </si>
  <si>
    <t xml:space="preserve">Plaque à l'intérieur de l'appareil</t>
  </si>
  <si>
    <t xml:space="preserve">Modèles à écran : plaque signalétique numérique dans Réglages &gt; Informations. Une capture de l'écran suffit, sans chercher la plaque</t>
  </si>
  <si>
    <t xml:space="preserve">https://www.liebherr.com/fr-fr/refrigerateurs-congelateurs/plaque-signaletique-3042050</t>
  </si>
  <si>
    <t xml:space="preserve">Samsung</t>
  </si>
  <si>
    <t xml:space="preserve">Lavage, froid, cuisson, climatisation</t>
  </si>
  <si>
    <t xml:space="preserve">Code modèle, n. de série (S/N)</t>
  </si>
  <si>
    <t xml:space="preserve">Format propre à Samsung</t>
  </si>
  <si>
    <t xml:space="preserve">Froid : paroi gauche, intérieure ou extérieure. Lavage frontal : cadre de porte près du joint, sinon étiquette au dos</t>
  </si>
  <si>
    <t xml:space="preserve">Sur certains réfrigérateurs, le numéro de l'autocollant extérieur est un numéro de contrôle usine, pas le n. de série : lire l'étiquette intérieure</t>
  </si>
  <si>
    <t xml:space="preserve">https://ushl.samsung.com/ch_fr/support/home-appliances/comment-trouver-le-numero-de-serie-code-modele-ou-numero-imei-de-mon-appareil ; https://ushl.samsung.com/be_fr/support/home-appliances/ou-puis-je-trouver-le-numero-de-serie-de-mon-refrigerateur</t>
  </si>
  <si>
    <t xml:space="preserve">LG</t>
  </si>
  <si>
    <t xml:space="preserve">Modèle, n. de série</t>
  </si>
  <si>
    <t xml:space="preserve">Format propre à LG</t>
  </si>
  <si>
    <t xml:space="preserve">Lavage frontal : étiquette argentée autour de l'ouverture du tambour, en général en haut. Chargement par le haut : au dos ou côté droit. Froid : paroi intérieure gauche (modèles récents), droite (anciens)</t>
  </si>
  <si>
    <t xml:space="preserve">https://www.lg.com/africa_fr/support/aide-produit/CT40007876-20155091574353 ; https://www.lg.com/us/support/help-library/lg-refrigerator-how-to-find-my-lg-model-and-serial-number--20154743175875</t>
  </si>
  <si>
    <t xml:space="preserve">Whirlpool (fabrication Whirlpool)</t>
  </si>
  <si>
    <t xml:space="preserve">Whirlpool, Bauknecht, Ignis, Laden, une partie des appareils Ikea</t>
  </si>
  <si>
    <t xml:space="preserve">Lavage, froid, cuisson</t>
  </si>
  <si>
    <t xml:space="preserve">Code service 12NC, n. de série</t>
  </si>
  <si>
    <t xml:space="preserve">Code service : 12 chiffres commençant par 85</t>
  </si>
  <si>
    <t xml:space="preserve">Plaque visible porte ouverte (lavage), paroi intérieure (froid)</t>
  </si>
  <si>
    <t xml:space="preserve">Ikea : le fabricant réel varie selon le modèle, le format de l'identifiant révèle lequel. Activités européennes de Whirlpool reprises par Beko Europe</t>
  </si>
  <si>
    <t xml:space="preserve">https://www.boulanger.com/ref/9000518317</t>
  </si>
  <si>
    <t xml:space="preserve">Source secondaire (distributeur)</t>
  </si>
  <si>
    <t xml:space="preserve">Ex-Indesit Company</t>
  </si>
  <si>
    <t xml:space="preserve">Indesit, Hotpoint, Ariston (électroménager), Scholtes</t>
  </si>
  <si>
    <t xml:space="preserve">Modèle, code article, n. de série</t>
  </si>
  <si>
    <t xml:space="preserve">Code article : F suivi de 6 chiffres (ex. F078786) ; productions récentes : code numérique à 12 chiffres</t>
  </si>
  <si>
    <t xml:space="preserve">Deux générations de formats coexistent dans le parc installé</t>
  </si>
  <si>
    <t xml:space="preserve">https://www.boulanger.com/ref/9000542389</t>
  </si>
  <si>
    <t xml:space="preserve">Source secondaire (à confirmer)</t>
  </si>
  <si>
    <t xml:space="preserve">Electrolux</t>
  </si>
  <si>
    <t xml:space="preserve">Electrolux, AEG, Zanussi, Faure, Arthur Martin</t>
  </si>
  <si>
    <t xml:space="preserve">Modèle, PNC (code produit), n. de série</t>
  </si>
  <si>
    <t xml:space="preserve">PNC numérique : longueur à confirmer avant d'en faire une règle de validation</t>
  </si>
  <si>
    <t xml:space="preserve">Cadre du hublot (lavage), chant de porte (lave-vaisselle), paroi intérieure (froid)</t>
  </si>
  <si>
    <t xml:space="preserve">Le PNC est indispensable pour commander une pièce détachée d'origine</t>
  </si>
  <si>
    <t xml:space="preserve">https://notices.underdog.shop/user-manuals/7332543124978-8da7de9f-4c2d-48eb-9c88-224de49afc0f.pdf</t>
  </si>
  <si>
    <t xml:space="preserve">Partiellement vérifié (notice fabricant)</t>
  </si>
  <si>
    <t xml:space="preserve">Vaillant Group</t>
  </si>
  <si>
    <t xml:space="preserve">Saunier Duval, Vaillant</t>
  </si>
  <si>
    <t xml:space="preserve">Chaudières, chauffe-eau, PAC</t>
  </si>
  <si>
    <t xml:space="preserve">Gamme et modèle, n. de série, puissance, année</t>
  </si>
  <si>
    <t xml:space="preserve">Format propre au fabricant</t>
  </si>
  <si>
    <t xml:space="preserve">Chaudière : sous le capot avant ou sur le flanc. Chauffe-eau : côté ou arrière</t>
  </si>
  <si>
    <t xml:space="preserve">Ne jamais déposer le capot d'un appareil gaz : relever la plaque lors de l'entretien annuel ou sur l'attestation</t>
  </si>
  <si>
    <t xml:space="preserve">https://selectra.info/energie/renovation-energetique/marque-chaudiere/saunier-duval</t>
  </si>
  <si>
    <t xml:space="preserve">Source secondaire</t>
  </si>
  <si>
    <t xml:space="preserve">PAC et climatisation (toutes marques)</t>
  </si>
  <si>
    <t xml:space="preserve">Daikin, Mitsubishi Electric, Atlantic, Panasonic, Toshiba, etc.</t>
  </si>
  <si>
    <t xml:space="preserve">Climatisation, PAC, chauffe-eau thermodynamique</t>
  </si>
  <si>
    <t xml:space="preserve">Modèle, n. de série, puissance, type de fluide, charge en kg et en t eq. CO2, mention hermétiquement scellé</t>
  </si>
  <si>
    <t xml:space="preserve">Charge x PRG du fluide = t eq. CO2 : seuil de contrôle d'étanchéité à 5 t eq. CO2</t>
  </si>
  <si>
    <t xml:space="preserve">En résidentiel, un équipement étiqueté hermétiquement scellé contenant moins de 3 kg de gaz fluores est exempte de contrôle d'étanchéité</t>
  </si>
  <si>
    <t xml:space="preserve">http://data.europa.eu/eli/reg/2024/573/oj ; https://œil.europarl.europa.eu/œil/fr/document-summary?id=1772308</t>
  </si>
  <si>
    <t xml:space="preserve">Vérifié (texte réglementaire) ; emplacements génériques</t>
  </si>
  <si>
    <t xml:space="preserve">Beko Europe (Arcelik)</t>
  </si>
  <si>
    <t xml:space="preserve">Beko, Grundig</t>
  </si>
  <si>
    <t xml:space="preserve">Emplacements génériques par catégorie</t>
  </si>
  <si>
    <t xml:space="preserve">Haier Europe</t>
  </si>
  <si>
    <t xml:space="preserve">Haier, Candy, Hoover, Rosières</t>
  </si>
  <si>
    <t xml:space="preserve">Groupe Brandt</t>
  </si>
  <si>
    <t xml:space="preserve">Brandt, De Dietrich (électroménager), Sauter, Vedette</t>
  </si>
  <si>
    <t xml:space="preserve">Groupe Atlantic</t>
  </si>
  <si>
    <t xml:space="preserve">Atlantic, Thermor, Sauter (chauffage), Ygnis</t>
  </si>
  <si>
    <t xml:space="preserve">Chauffe-eau, PAC, radiateurs, chaudières</t>
  </si>
  <si>
    <t xml:space="preserve">Chauffe-eau : enveloppe du ballon, près du capot électrique</t>
  </si>
  <si>
    <t xml:space="preserve">Chauffage : autres fabricants</t>
  </si>
  <si>
    <t xml:space="preserve">Frisquet, De Dietrich thermique, Chappee, Elm Leblanc, Viessmann, Chaffoteaux</t>
  </si>
  <si>
    <t xml:space="preserve">Chaudières, PAC</t>
  </si>
  <si>
    <t xml:space="preserve">Chaudière : sous l'appareil ou derrière le capot</t>
  </si>
  <si>
    <t xml:space="preserve">Même règle de sécurité que pour Vaillant Group : jamais de démontage du capot</t>
  </si>
  <si>
    <t xml:space="preserve">Poêles</t>
  </si>
  <si>
    <t xml:space="preserve">MCZ, Palazzetti, Edilkamin, Invicta, Supra</t>
  </si>
  <si>
    <t xml:space="preserve">Poêles à granules et à bois, inserts</t>
  </si>
  <si>
    <t xml:space="preserve">Petit électroménager</t>
  </si>
  <si>
    <t xml:space="preserve">Groupe SEB (Rowenta, Moulinex, Krups, Tefal), De'Longhi, Dyson, Philips</t>
  </si>
  <si>
    <t xml:space="preserve">Café, aspirateurs, repassage</t>
  </si>
  <si>
    <t xml:space="preserve">Sous l'appareil</t>
  </si>
  <si>
    <t xml:space="preserve">Obligations reglementaires - logement en France</t>
  </si>
  <si>
    <t xml:space="preserve">Etat du droit verifie en septembre 2026. A revoir chaque annee : ces textes bougent souvent.</t>
  </si>
  <si>
    <t xml:space="preserve">Equipements concernes</t>
  </si>
  <si>
    <t xml:space="preserve">Texte de reference</t>
  </si>
  <si>
    <t xml:space="preserve">Frequence</t>
  </si>
  <si>
    <t xml:space="preserve">Qui est redevable</t>
  </si>
  <si>
    <t xml:space="preserve">Justificatif</t>
  </si>
  <si>
    <t xml:space="preserve">Sanction ou risque</t>
  </si>
  <si>
    <t xml:space="preserve">Amende maximale</t>
  </si>
  <si>
    <t xml:space="preserve">Assurance</t>
  </si>
  <si>
    <t xml:space="preserve">Responsabilite</t>
  </si>
  <si>
    <t xml:space="preserve">Danger</t>
  </si>
  <si>
    <t xml:space="preserve">Autre consequence</t>
  </si>
  <si>
    <t xml:space="preserve">L-01</t>
  </si>
  <si>
    <t xml:space="preserve">Entretien annuel des chaudières 4-400 kW</t>
  </si>
  <si>
    <t xml:space="preserve">Chaudière gaz, fioul, bois, charbon, multicombustible (CH-01, CH-02, CH-03, ECS-03)</t>
  </si>
  <si>
    <t xml:space="preserve">Décret n. 2009-649 du 09/06/2009 + arrêté du 15/09/2009 ; C. env. art. R224-41-4 à R224-41-9</t>
  </si>
  <si>
    <t xml:space="preserve">Occupant pour les chaudières individuelles ; propriétaire ou syndicat pour les collectives (sauf clause contraire du bail)</t>
  </si>
  <si>
    <t xml:space="preserve">Attestation d'entretien remise par le professionnel sous 15 jours, à conserver au moins 2 ans</t>
  </si>
  <si>
    <t xml:space="preserve">Pas d'amende directe, mais retenue possible sur le dépôt de garantie et réduction ou refus d'indemnisation par l'assureur en cas de sinistre</t>
  </si>
  <si>
    <t xml:space="preserve">https://www.service-public.gouv.fr/particuliers/vosdroits/F20760</t>
  </si>
  <si>
    <t xml:space="preserve">Indemnisation réduite ou refusée après un sinistre</t>
  </si>
  <si>
    <t xml:space="preserve">Retenue possible sur le dépôt de garantie (locataire)</t>
  </si>
  <si>
    <t xml:space="preserve">L-02</t>
  </si>
  <si>
    <t xml:space="preserve">Ramonage des conduits de fumée</t>
  </si>
  <si>
    <t xml:space="preserve">Tout conduit raccordé à un appareil à combustion : le conduit de fumée (CH-07) et la cheminée à foyer ouvert (CH-06)</t>
  </si>
  <si>
    <t xml:space="preserve">Décret n. 2023-641 du 20/07/2023 + arrêté du 20/07/2023, en vigueur au 01/10/2023 ; Code de la santé publique</t>
  </si>
  <si>
    <t xml:space="preserve">1 ramonage mécanique tous les 12 mois minimum. 2e ramonage requis au-delà de 6 m3 de bois ou 2,5 t de granules consommés dans l'année. Appareils collectifs : tous les 6 mois</t>
  </si>
  <si>
    <t xml:space="preserve">Occupant (décret n. 87-712 sur les réparations locatives) ; syndic pour les conduits collectifs</t>
  </si>
  <si>
    <t xml:space="preserve">Certificat de ramonage délivré par un professionnel qualifié, à conserver 5 ans</t>
  </si>
  <si>
    <t xml:space="preserve">Amende de 3e classe jusqu'à 450 EUR ; refus d'indemnisation en cas de feu de cheminée. Le ramonage chimique (bûche) n'a aucune valeur juridique</t>
  </si>
  <si>
    <t xml:space="preserve">https://www.legifrance.gouv.fr/jorf/id/JORFTEXT000047867286</t>
  </si>
  <si>
    <t xml:space="preserve">Jusqu'à 450 €</t>
  </si>
  <si>
    <t xml:space="preserve">Refus d'indemnisation après un feu de cheminée</t>
  </si>
  <si>
    <t xml:space="preserve">Feu de conduit, intoxication au monoxyde de carbone</t>
  </si>
  <si>
    <t xml:space="preserve">Un ramonage chimique ne vaut pas preuve</t>
  </si>
  <si>
    <t xml:space="preserve">L-03</t>
  </si>
  <si>
    <t xml:space="preserve">Entretien des appareils à combustible solide</t>
  </si>
  <si>
    <t xml:space="preserve">Poêle à granules, poêle à bois, insert, foyer fermé, cuisinière (CH-04, CH-05)</t>
  </si>
  <si>
    <t xml:space="preserve">Décret n. 2023-641 du 20/07/2023</t>
  </si>
  <si>
    <t xml:space="preserve">Tous les 12 mois pour les appareils individuels</t>
  </si>
  <si>
    <t xml:space="preserve">Occupant</t>
  </si>
  <si>
    <t xml:space="preserve">Non-conformité, difficultés avec l'assureur. Les foyers ouverts sont exemptés d'entretien mais restent soumis au ramonage</t>
  </si>
  <si>
    <t xml:space="preserve">Difficultés d'indemnisation après un sinistre</t>
  </si>
  <si>
    <t xml:space="preserve">Incendie, intoxication au monoxyde de carbone</t>
  </si>
  <si>
    <t xml:space="preserve">L-04</t>
  </si>
  <si>
    <t xml:space="preserve">Entretien des systèmes thermodynamiques 4-70 kW</t>
  </si>
  <si>
    <t xml:space="preserve">PAC air/eau, air/air, geothermique, chauffe-eau thermodynamique, climatiseur, PAC de piscine (CH-08 à CH-10, ECS-02, CLIM-01, PIS-05)</t>
  </si>
  <si>
    <t xml:space="preserve">Décret n. 2020-912 du 28/07/2020 + arrêté du 24/07/2020 ; C. env. art. R224-44 à R224-44-5</t>
  </si>
  <si>
    <t xml:space="preserve">Au moins tous les 2 ans</t>
  </si>
  <si>
    <t xml:space="preserve">Propriétaire ou occupant selon le bail</t>
  </si>
  <si>
    <t xml:space="preserve">Non-conformité ; perte de garantie constructeur fréquente en l'absence d'entretien</t>
  </si>
  <si>
    <t xml:space="preserve">https://www.ecologie.gouv.fr/politiques-publiques/entretien-inspection-systemes-chauffage-climatisation</t>
  </si>
  <si>
    <t xml:space="preserve">Perte fréquente de la garantie constructeur</t>
  </si>
  <si>
    <t xml:space="preserve">L-05</t>
  </si>
  <si>
    <t xml:space="preserve">Inspection périodique des systèmes &gt; 70 kW</t>
  </si>
  <si>
    <t xml:space="preserve">Systèmes thermodynamiques et de ventilation combinés à un chauffage par effet joule &gt; 70 kW</t>
  </si>
  <si>
    <t xml:space="preserve">Décret n. 2020-912 ; C. env. art. R224-45 à R224-45-9</t>
  </si>
  <si>
    <t xml:space="preserve">Au moins tous les 5 ans</t>
  </si>
  <si>
    <t xml:space="preserve">Propriétaire ou syndicat de copropriété</t>
  </si>
  <si>
    <t xml:space="preserve">Rapport d'inspection</t>
  </si>
  <si>
    <t xml:space="preserve">Non-conformité. Concerne surtout le collectif et le tertiaire</t>
  </si>
  <si>
    <t xml:space="preserve">Non-conformité (surtout en collectif et tertiaire)</t>
  </si>
  <si>
    <t xml:space="preserve">L-06</t>
  </si>
  <si>
    <t xml:space="preserve">Contrôle d'étanchéité des fluides frigorigenes</t>
  </si>
  <si>
    <t xml:space="preserve">Tout équipement dont la charge atteint 5 tonnes équivalent CO2 (CLIM-03)</t>
  </si>
  <si>
    <t xml:space="preserve">Règlement (UE) 2024/573 du 07/02/2024 dit F-Gas, applicable depuis le 11/03/2024 (abroge le règlement 517/2014)</t>
  </si>
  <si>
    <t xml:space="preserve">Tous les 12 mois pour 5 à 50 t CO2 eq (fréquence resserrée au-delà). En résidentiel, exemption pour un équipement étiqueté hermétiquement scellé contenant moins de 3 kg</t>
  </si>
  <si>
    <t xml:space="preserve">Exploitant / propriétaire de l'équipement</t>
  </si>
  <si>
    <t xml:space="preserve">Fiche d'intervention CERFA 15497, opérateur titulaire d'une attestation de capacité</t>
  </si>
  <si>
    <t xml:space="preserve">Sanction administrative ; impact climatique (le R410A à un pouvoir de réchauffement environ 2000 fois celui du CO2)</t>
  </si>
  <si>
    <t xml:space="preserve">http://data.europa.eu/eli/reg/2024/573/oj</t>
  </si>
  <si>
    <t xml:space="preserve">Sanction administrative</t>
  </si>
  <si>
    <t xml:space="preserve">Fuite d'un gaz à fort effet de serre</t>
  </si>
  <si>
    <t xml:space="preserve">L-07</t>
  </si>
  <si>
    <t xml:space="preserve">Détecteur autonome avertisseur de fumée (DAAF)</t>
  </si>
  <si>
    <t xml:space="preserve">Tout logement (SEC-01)</t>
  </si>
  <si>
    <t xml:space="preserve">Loi n. 2010-238 du 09/03/2010 ; CCH art. R129-12 à R129-15</t>
  </si>
  <si>
    <t xml:space="preserve">Installation par le propriétaire ; entretien, test et remplacement des piles par l'occupant ; appareil à remplacer au bout de 10 ans</t>
  </si>
  <si>
    <t xml:space="preserve">Propriétaire pour la fourniture et l'installation, occupant pour l'entretien</t>
  </si>
  <si>
    <t xml:space="preserve">Pas d'amende prévue, mais l'assureur peut opposer le défaut d'installation</t>
  </si>
  <si>
    <t xml:space="preserve">https://www.service-public.gouv.fr/particuliers/vosdroits/F19871</t>
  </si>
  <si>
    <t xml:space="preserve">L'assureur peut opposer l'absence de détecteur</t>
  </si>
  <si>
    <t xml:space="preserve">Incendie non détecté</t>
  </si>
  <si>
    <t xml:space="preserve">L-08</t>
  </si>
  <si>
    <t xml:space="preserve">Sécurité des piscines privatives enterrées</t>
  </si>
  <si>
    <t xml:space="preserve">Piscine enterrée ou semi-enterrée non close, à usage individuel ou collectif (PIS-01, PIS-07)</t>
  </si>
  <si>
    <t xml:space="preserve">Loi n. 2003-9 du 03/01/2003 ; CCH art. L128-1 et R128-1</t>
  </si>
  <si>
    <t xml:space="preserve">Dispositif normalisé en place en permanence : barrière NF P90-306, alarme NF P90-307, couverture NF P90-308 ou abri NF P90-309</t>
  </si>
  <si>
    <t xml:space="preserve">Propriétaire</t>
  </si>
  <si>
    <t xml:space="preserve">Attestation de conformité du dispositif, note technique du constructeur</t>
  </si>
  <si>
    <t xml:space="preserve">Amende jusqu'à 45 000 EUR ; responsabilité pénale en cas de noyade</t>
  </si>
  <si>
    <t xml:space="preserve">https://www.service-public.gouv.fr/particuliers/vosdroits/F2062</t>
  </si>
  <si>
    <t xml:space="preserve">Jusqu'à 45 000 €</t>
  </si>
  <si>
    <t xml:space="preserve">Pénale en cas de noyade</t>
  </si>
  <si>
    <t xml:space="preserve">Noyade d'enfant</t>
  </si>
  <si>
    <t xml:space="preserve">L-09</t>
  </si>
  <si>
    <t xml:space="preserve">Contrôle de l'assainissement non collectif</t>
  </si>
  <si>
    <t xml:space="preserve">Fosse toutes eaux, fosse septique, micro-station (ASS-01, ASS-02)</t>
  </si>
  <si>
    <t xml:space="preserve">Code de la santé publique art. L1331-1-1 ; arrêtés du 27/04/2012 et du 07/09/2009</t>
  </si>
  <si>
    <t xml:space="preserve">Contrôle périodique du SPANC au moins tous les 10 ans (la commune peut imposer un intervalle plus court, souvent 4 à 8 ans). Vidange dès que les boues atteignent 50% du volume utile</t>
  </si>
  <si>
    <t xml:space="preserve">Rapport de visite du SPANC ; bordereau de suivi des matières de vidange par un vidangeur agréé</t>
  </si>
  <si>
    <t xml:space="preserve">Mise en demeure, travaux imposés sous 4 ans, majoration de la redevance jusqu'à 100%. À la vente, rapport de moins de 3 ans obligatoire</t>
  </si>
  <si>
    <t xml:space="preserve">https://www.service-public.gouv.fr/particuliers/vosdroits/F1400</t>
  </si>
  <si>
    <t xml:space="preserve">Travaux imposés sous 4 ans, redevance majorée jusqu'à 100 %, rapport exigé à la vente</t>
  </si>
  <si>
    <t xml:space="preserve">L-10</t>
  </si>
  <si>
    <t xml:space="preserve">Déclaration des puits et forages domestiques</t>
  </si>
  <si>
    <t xml:space="preserve">Puits, forage, captage privé (EAU-05)</t>
  </si>
  <si>
    <t xml:space="preserve">CGCT art. L2224-9 ; décret n. 2008-652 du 02/07/2008</t>
  </si>
  <si>
    <t xml:space="preserve">Déclaration en mairie avant travaux et à l'achèvement ; contrôle si l'ouvrage est relié au réseau intérieur</t>
  </si>
  <si>
    <t xml:space="preserve">Récépissé de déclaration (CERFA 13837)</t>
  </si>
  <si>
    <t xml:space="preserve">Amende ; obligation de déconnexion du réseau</t>
  </si>
  <si>
    <t xml:space="preserve">https://www.service-public.gouv.fr/particuliers/vosdroits/F31864</t>
  </si>
  <si>
    <t xml:space="preserve">Amende possible</t>
  </si>
  <si>
    <t xml:space="preserve">Déconnexion du réseau exigée</t>
  </si>
  <si>
    <t xml:space="preserve">L-11</t>
  </si>
  <si>
    <t xml:space="preserve">Installation intérieure de gaz de plus de 15 ans (ENE-06)</t>
  </si>
  <si>
    <t xml:space="preserve">CCH art. L271-4 ; arrêté du 06/04/2007</t>
  </si>
  <si>
    <t xml:space="preserve">À la vente : validité 3 ans. En location : validité 6 ans</t>
  </si>
  <si>
    <t xml:space="preserve">Vendeur ou bailleur</t>
  </si>
  <si>
    <t xml:space="preserve">Diagnostic réalisé par un diagnostiqueur certifié</t>
  </si>
  <si>
    <t xml:space="preserve">Responsabilité du vendeur pour vice caché si le diagnostic est absent ou erroné</t>
  </si>
  <si>
    <t xml:space="preserve">https://www.service-public.gouv.fr/particuliers/vosdroits/F16158</t>
  </si>
  <si>
    <t xml:space="preserve">Civile (vice caché) à la vente</t>
  </si>
  <si>
    <t xml:space="preserve">Vente ou location sans diagnostic valide</t>
  </si>
  <si>
    <t xml:space="preserve">L-12</t>
  </si>
  <si>
    <t xml:space="preserve">Diagnostic de l'installation intérieure d'électricité</t>
  </si>
  <si>
    <t xml:space="preserve">Installation électrique de plus de 15 ans (ENE-05)</t>
  </si>
  <si>
    <t xml:space="preserve">CCH art. L271-4 ; décret n. 2008-384</t>
  </si>
  <si>
    <t xml:space="preserve">Responsabilité du vendeur pour vice caché</t>
  </si>
  <si>
    <t xml:space="preserve">L-13</t>
  </si>
  <si>
    <t xml:space="preserve">Entretien et contrôle technique des ascenseurs</t>
  </si>
  <si>
    <t xml:space="preserve">Ascenseur privatif, ascenseur d'immeuble, monte-charge accessible (SEC-07)</t>
  </si>
  <si>
    <t xml:space="preserve">CCH art. L125-2-2 et R125-2 ; décret n. 2004-964 du 09/09/2004</t>
  </si>
  <si>
    <t xml:space="preserve">Contrat d'entretien obligatoire ; visite au moins toutes les 6 semaines ; contrôle technique quinquennal par un organisme agréé</t>
  </si>
  <si>
    <t xml:space="preserve">Carnet d'entretien tenu à jour + rapport de contrôle technique</t>
  </si>
  <si>
    <t xml:space="preserve">Responsabilité civile et pénale en cas d'accident ; mise à l'arrêt possible</t>
  </si>
  <si>
    <t xml:space="preserve">https://www.service-public.gouv.fr/particuliers/vosdroits/F2058</t>
  </si>
  <si>
    <t xml:space="preserve">Civile et pénale en cas d'accident</t>
  </si>
  <si>
    <t xml:space="preserve">Accident</t>
  </si>
  <si>
    <t xml:space="preserve">Mise à l'arrêt possible</t>
  </si>
  <si>
    <t xml:space="preserve">L-14</t>
  </si>
  <si>
    <t xml:space="preserve">Tuyau flexible de raccordement gaz</t>
  </si>
  <si>
    <t xml:space="preserve">Flexible d'appareil de cuisson ou de chauffage au gaz (CUIS-04, JAR-06)</t>
  </si>
  <si>
    <t xml:space="preserve">Arrêté du 02/08/1977 modifié ; normes NF D 36-100 / 36-103</t>
  </si>
  <si>
    <t xml:space="preserve">Remplacement impératif à la date de péremption imprimée sur le flexible (5 à 10 ans selon le type)</t>
  </si>
  <si>
    <t xml:space="preserve">Date lisible sur la bague du flexible</t>
  </si>
  <si>
    <t xml:space="preserve">Fuite de gaz ; l'assureur peut opposer le défaut d'entretien après un sinistre</t>
  </si>
  <si>
    <t xml:space="preserve">https://www.grdf.fr/particuliers/securite-gaz</t>
  </si>
  <si>
    <t xml:space="preserve">L'assureur peut opposer le défaut d'entretien</t>
  </si>
  <si>
    <t xml:space="preserve">Fuite de gaz, explosion</t>
  </si>
  <si>
    <t xml:space="preserve">L-15</t>
  </si>
  <si>
    <t xml:space="preserve">Portails et portes automatiques en collectif</t>
  </si>
  <si>
    <t xml:space="preserve">Portail ou porte de garage motorisé desservant des parties communes (OUV-01, OUV-02)</t>
  </si>
  <si>
    <t xml:space="preserve">Arrêté du 21/12/1993 relatif aux portes automatiques de garage des bâtiments d'habitation</t>
  </si>
  <si>
    <t xml:space="preserve">Visite d'entretien au moins tous les 6 mois par un professionnel</t>
  </si>
  <si>
    <t xml:space="preserve">Livret d'entretien</t>
  </si>
  <si>
    <t xml:space="preserve">Responsabilité en cas d'accident ; les installations individuelles ne sont pas soumises à cette obligation</t>
  </si>
  <si>
    <t xml:space="preserve">https://www.legifrance.gouv.fr/loda/id/JORFTEXT000000366318</t>
  </si>
  <si>
    <t xml:space="preserve">En cas d'accident</t>
  </si>
  <si>
    <t xml:space="preserve">Écrasement</t>
  </si>
  <si>
    <t xml:space="preserve">Concerne uniquement le collectif</t>
  </si>
  <si>
    <t xml:space="preserve">L-16</t>
  </si>
  <si>
    <t xml:space="preserve">Ravalement de façade</t>
  </si>
  <si>
    <t xml:space="preserve">Façade sur voie publique (BAT-03)</t>
  </si>
  <si>
    <t xml:space="preserve">CCH art. L132-1 à L132-5 : obligation applicable dans les communes ayant pris un arrêté</t>
  </si>
  <si>
    <t xml:space="preserve">Généralement tous les 10 ans lorsque la commune à établi une liste</t>
  </si>
  <si>
    <t xml:space="preserve">Injonction municipale, puis exécution d'office aux frais du propriétaire</t>
  </si>
  <si>
    <t xml:space="preserve">https://www.service-public.gouv.fr/particuliers/vosdroits/F2076</t>
  </si>
  <si>
    <t xml:space="preserve">Travaux exécutés d'office aux frais du propriétaire</t>
  </si>
  <si>
    <t xml:space="preserve">L-17</t>
  </si>
  <si>
    <t xml:space="preserve">Usage domestique de l'eau de pluie</t>
  </si>
  <si>
    <t xml:space="preserve">Récupérateur alimentant des usages intérieurs, WC ou lave-linge (EAU-06)</t>
  </si>
  <si>
    <t xml:space="preserve">Arrêté du 21/08/2008 relatif à la récupération des eaux de pluie</t>
  </si>
  <si>
    <t xml:space="preserve">Entretien semestriel du filtre, contrôle annuel de la cuve, carnet sanitaire tenu à jour, déclaration en mairie si rejet au réseau collectif</t>
  </si>
  <si>
    <t xml:space="preserve">Carnet sanitaire + déclaration d'usage</t>
  </si>
  <si>
    <t xml:space="preserve">Non-conformité en cas de contrôle ; risque de contamination du réseau d'eau potable</t>
  </si>
  <si>
    <t xml:space="preserve">https://www.service-public.gouv.fr/particuliers/vosdroits/F31699</t>
  </si>
  <si>
    <t xml:space="preserve">Contamination du réseau d'eau potable</t>
  </si>
  <si>
    <t xml:space="preserve">Non-conformité en cas de contrôle</t>
  </si>
  <si>
    <t xml:space="preserve">L-18</t>
  </si>
  <si>
    <t xml:space="preserve">Protection du réseau d'eau potable (disconnecteur)</t>
  </si>
  <si>
    <t xml:space="preserve">Arrosage, récupérateur ou piscine raccordés au réseau public (EAU-03)</t>
  </si>
  <si>
    <t xml:space="preserve">Arrêté du 17/03/2004 ; règlement du service des eaux</t>
  </si>
  <si>
    <t xml:space="preserve">Contrôle annuel du dispositif de protection</t>
  </si>
  <si>
    <t xml:space="preserve">Propriétaire / abonné</t>
  </si>
  <si>
    <t xml:space="preserve">Responsabilité civile et pénale en cas de contamination du réseau public</t>
  </si>
  <si>
    <t xml:space="preserve">Civile et pénale en cas de contamination</t>
  </si>
  <si>
    <t xml:space="preserve">Contamination du réseau public</t>
  </si>
  <si>
    <t xml:space="preserve">L-19</t>
  </si>
  <si>
    <t xml:space="preserve">Cuve à fioul enterrée ou aérienne</t>
  </si>
  <si>
    <t xml:space="preserve">Stockage de produits pétroliers à usage domestique (CH-15)</t>
  </si>
  <si>
    <t xml:space="preserve">Arrêté du 01/07/2004 relatif au stockage de produits pétroliers</t>
  </si>
  <si>
    <t xml:space="preserve">Contrôle d'étanchéité périodique selon le type de cuve ; nettoyage recommande tous les 5 à 10 ans</t>
  </si>
  <si>
    <t xml:space="preserve">Rapport de contrôle d'étanchéité</t>
  </si>
  <si>
    <t xml:space="preserve">Depollution des sols à la charge intégrale du propriétaire en cas de fuite</t>
  </si>
  <si>
    <t xml:space="preserve">https://www.service-public.gouv.fr/particuliers/vosdroits/F31865</t>
  </si>
  <si>
    <t xml:space="preserve">Pollution des sols</t>
  </si>
  <si>
    <t xml:space="preserve">Dépollution à la charge intégrale du propriétaire</t>
  </si>
  <si>
    <t xml:space="preserve">L-20</t>
  </si>
  <si>
    <t xml:space="preserve">Contrôle technique des véhicules</t>
  </si>
  <si>
    <t xml:space="preserve">Voiture particulière (VEH-01)</t>
  </si>
  <si>
    <t xml:space="preserve">Premier contrôle dans les 6 mois précédant le 4e anniversaire de la première immatriculation, puis tous les 2 ans</t>
  </si>
  <si>
    <t xml:space="preserve">Propriétaire du véhicule</t>
  </si>
  <si>
    <t xml:space="preserve">Amende de 135 EUR, immobilisation possible du véhicule</t>
  </si>
  <si>
    <t xml:space="preserve">https://www.service-public.gouv.fr/particuliers/vosdroits/F2878</t>
  </si>
  <si>
    <t xml:space="preserve">135 €</t>
  </si>
  <si>
    <t xml:space="preserve">Immobilisation possible du véhicule</t>
  </si>
  <si>
    <t xml:space="preserve">L-21</t>
  </si>
  <si>
    <t xml:space="preserve">Contrôle technique des deux-roues, trois-roues et quadricycles motorisés</t>
  </si>
  <si>
    <t xml:space="preserve">Véhicules de catégorie L : motos, scooters, cyclomoteurs, quadricycles (VEH-02). Les vélos à assistance électrique ne sont pas concernés</t>
  </si>
  <si>
    <t xml:space="preserve">Décret n. 2023-974 du 23/10/2023 ; arrêté du 23/10/2023</t>
  </si>
  <si>
    <t xml:space="preserve">Véhicules immatriculés depuis 2022 : premier contrôle entre 4 ans et demi et 5 ans après la mise en circulation, puis tous les 3 ans. Véhicules plus anciens : calendrier transitoire selon l'année d'immatriculation</t>
  </si>
  <si>
    <t xml:space="preserve">https://www.service-public.gouv.fr/particuliers/actualites/A16861 ; https://www.info.gouv.fr/actualite/controle-technique-obligatoire-pour-les-deux-roues</t>
  </si>
  <si>
    <t xml:space="preserve">Nomenclatures pour le modele de donnees</t>
  </si>
  <si>
    <t xml:space="preserve">Valeurs a reprendre telles quelles dans les tables de l'application.</t>
  </si>
  <si>
    <t xml:space="preserve">Table</t>
  </si>
  <si>
    <t xml:space="preserve">Libelle</t>
  </si>
  <si>
    <t xml:space="preserve">Commentaire</t>
  </si>
  <si>
    <t xml:space="preserve">kitchen</t>
  </si>
  <si>
    <t xml:space="preserve">laundry</t>
  </si>
  <si>
    <t xml:space="preserve">heating_cooling</t>
  </si>
  <si>
    <t xml:space="preserve">small_appliances</t>
  </si>
  <si>
    <t xml:space="preserve">electronics</t>
  </si>
  <si>
    <t xml:space="preserve">Pas de plan d'entretien : garantie et documents</t>
  </si>
  <si>
    <t xml:space="preserve">garden_pool</t>
  </si>
  <si>
    <t xml:space="preserve">home_safety</t>
  </si>
  <si>
    <t xml:space="preserve">energy</t>
  </si>
  <si>
    <t xml:space="preserve">vehicles</t>
  </si>
  <si>
    <t xml:space="preserve">v1 : garantie, documents, controle technique ; revisions au kilometrage plus tard</t>
  </si>
  <si>
    <t xml:space="preserve">other</t>
  </si>
  <si>
    <t xml:space="preserve">TypeIntervenant</t>
  </si>
  <si>
    <t xml:space="preserve">diy</t>
  </si>
  <si>
    <t xml:space="preserve">Realisable par l'occupant</t>
  </si>
  <si>
    <t xml:space="preserve">Eligible au palier gratuit</t>
  </si>
  <si>
    <t xml:space="preserve">pro</t>
  </si>
  <si>
    <t xml:space="preserve">Professionnel requis</t>
  </si>
  <si>
    <t xml:space="preserve">Matiere premiere du palier Care</t>
  </si>
  <si>
    <t xml:space="preserve">pro_certifie</t>
  </si>
  <si>
    <t xml:space="preserve">Professionnel certifie</t>
  </si>
  <si>
    <t xml:space="preserve">Fluides frigorigenes, gaz, ascenseur, ramonage</t>
  </si>
  <si>
    <t xml:space="preserve">RegleFrequence</t>
  </si>
  <si>
    <t xml:space="preserve">every_n_months</t>
  </si>
  <si>
    <t xml:space="preserve">Tous les N mois</t>
  </si>
  <si>
    <t xml:space="preserve">Couvre la quasi-totalite des cas</t>
  </si>
  <si>
    <t xml:space="preserve">season_anchor</t>
  </si>
  <si>
    <t xml:space="preserve">Ancree sur une saison</t>
  </si>
  <si>
    <t xml:space="preserve">Ex. avant la saison de chauffe</t>
  </si>
  <si>
    <t xml:space="preserve">per_use</t>
  </si>
  <si>
    <t xml:space="preserve">A chaque utilisation</t>
  </si>
  <si>
    <t xml:space="preserve">Filtre de seche-linge, prefiltre de pompe</t>
  </si>
  <si>
    <t xml:space="preserve">threshold</t>
  </si>
  <si>
    <t xml:space="preserve">Sur seuil mesure</t>
  </si>
  <si>
    <t xml:space="preserve">Taux de boues, consommation de bois, date de peremption</t>
  </si>
  <si>
    <t xml:space="preserve">StatutTache</t>
  </si>
  <si>
    <t xml:space="preserve">a_venir</t>
  </si>
  <si>
    <t xml:space="preserve">A venir</t>
  </si>
  <si>
    <t xml:space="preserve">due</t>
  </si>
  <si>
    <t xml:space="preserve">Echue</t>
  </si>
  <si>
    <t xml:space="preserve">en_retard</t>
  </si>
  <si>
    <t xml:space="preserve">En retard</t>
  </si>
  <si>
    <t xml:space="preserve">Declencheur de relance et, si Care, de proposition d'intervention</t>
  </si>
  <si>
    <t xml:space="preserve">faite</t>
  </si>
  <si>
    <t xml:space="preserve">Realisee</t>
  </si>
  <si>
    <t xml:space="preserve">Horodatee, alimente l'historique d'entretien</t>
  </si>
  <si>
    <t xml:space="preserve">reportee</t>
  </si>
  <si>
    <t xml:space="preserve">Reportee</t>
  </si>
  <si>
    <t xml:space="preserve">Limiter les reports successifs sur les taches legales</t>
  </si>
  <si>
    <t xml:space="preserve">non_applicable</t>
  </si>
  <si>
    <t xml:space="preserve">Non applicable</t>
  </si>
  <si>
    <t xml:space="preserve">L'utilisateur declare ne pas etre concerne</t>
  </si>
  <si>
    <t xml:space="preserve">gratuit</t>
  </si>
  <si>
    <t xml:space="preserve">Inventaire, rappels, mode operatoire</t>
  </si>
  <si>
    <t xml:space="preserve">plus</t>
  </si>
  <si>
    <t xml:space="preserve">Multi-biens, coffre-fort de documents, historique exportable</t>
  </si>
  <si>
    <t xml:space="preserve">care</t>
  </si>
  <si>
    <t xml:space="preserve">Interventions a domicile programmees</t>
  </si>
  <si>
    <t xml:space="preserve">TypeJustificatif</t>
  </si>
  <si>
    <t xml:space="preserve">attestation_entretien</t>
  </si>
  <si>
    <t xml:space="preserve">Chaudiere, PAC, appareil a combustible solide</t>
  </si>
  <si>
    <t xml:space="preserve">certificat_ramonage</t>
  </si>
  <si>
    <t xml:space="preserve">A conserver 5 ans</t>
  </si>
  <si>
    <t xml:space="preserve">bordereau_vidange</t>
  </si>
  <si>
    <t xml:space="preserve">Bordereau de suivi de vidange</t>
  </si>
  <si>
    <t xml:space="preserve">Assainissement non collectif</t>
  </si>
  <si>
    <t xml:space="preserve">rapport_controle</t>
  </si>
  <si>
    <t xml:space="preserve">Rapport de controle</t>
  </si>
  <si>
    <t xml:space="preserve">SPANC, ascenseur, disconnecteur, cuve</t>
  </si>
  <si>
    <t xml:space="preserve">diagnostic</t>
  </si>
  <si>
    <t xml:space="preserve">Diagnostic reglementaire</t>
  </si>
  <si>
    <t xml:space="preserve">Gaz, electricite, termites</t>
  </si>
  <si>
    <t xml:space="preserve">facture</t>
  </si>
  <si>
    <t xml:space="preserve">Preuve d'entretien a defaut d'attestation</t>
  </si>
  <si>
    <t xml:space="preserve">attestation_conformite</t>
  </si>
  <si>
    <t xml:space="preserve">Attestation de conformite</t>
  </si>
  <si>
    <t xml:space="preserve">Dispositif de securite piscine</t>
  </si>
  <si>
    <t xml:space="preserve">TypeBien</t>
  </si>
  <si>
    <t xml:space="preserve">residence_principale</t>
  </si>
  <si>
    <t xml:space="preserve">Residence principale</t>
  </si>
  <si>
    <t xml:space="preserve">residence_secondaire</t>
  </si>
  <si>
    <t xml:space="preserve">Residence secondaire</t>
  </si>
  <si>
    <t xml:space="preserve">Hivernage et remise en service structurants</t>
  </si>
  <si>
    <t xml:space="preserve">location_courte_duree</t>
  </si>
  <si>
    <t xml:space="preserve">Location courte duree</t>
  </si>
  <si>
    <t xml:space="preserve">Cible d'amorcage : plusieurs biens, panne = nuitee perdue</t>
  </si>
  <si>
    <t xml:space="preserve">location_longue_duree</t>
  </si>
  <si>
    <t xml:space="preserve">Location longue duree</t>
  </si>
  <si>
    <t xml:space="preserve">Repartition proprietaire / locataire a gerer</t>
  </si>
  <si>
    <t xml:space="preserve">CiblePhoto</t>
  </si>
  <si>
    <t xml:space="preserve">plaque</t>
  </si>
  <si>
    <t xml:space="preserve">Identite de l'appareil, puissance, fluide</t>
  </si>
  <si>
    <t xml:space="preserve">etiquette_datee</t>
  </si>
  <si>
    <t xml:space="preserve">Flexible gaz, DAAF, detecteur CO, extincteur : la date suffit a creer le rappel</t>
  </si>
  <si>
    <t xml:space="preserve">cadran</t>
  </si>
  <si>
    <t xml:space="preserve">Compteur : releve d'index</t>
  </si>
  <si>
    <t xml:space="preserve">document</t>
  </si>
  <si>
    <t xml:space="preserve">Certificat, rapport, facture quand l'equipement n'a pas de plaque</t>
  </si>
  <si>
    <t xml:space="preserve">aucune</t>
  </si>
  <si>
    <t xml:space="preserve">Ajout par categorie seule</t>
  </si>
  <si>
    <t xml:space="preserve">StatutSource</t>
  </si>
  <si>
    <t xml:space="preserve">verifie</t>
  </si>
  <si>
    <t xml:space="preserve">Verifie</t>
  </si>
  <si>
    <t xml:space="preserve">Source officielle du fabricant ou texte reglementaire</t>
  </si>
  <si>
    <t xml:space="preserve">source_secondaire</t>
  </si>
  <si>
    <t xml:space="preserve">Distributeur ou comparateur : a confirmer</t>
  </si>
  <si>
    <t xml:space="preserve">a_documenter</t>
  </si>
  <si>
    <t xml:space="preserve">A documenter</t>
  </si>
  <si>
    <t xml:space="preserve">Repli sur l'emplacement generique de la categorie</t>
  </si>
  <si>
    <t xml:space="preserve">PrioriteMVP</t>
  </si>
  <si>
    <t xml:space="preserve">1</t>
  </si>
  <si>
    <t xml:space="preserve">Indispensable au lancement</t>
  </si>
  <si>
    <t xml:space="preserve">Obligation legale ou risque materiel eleve</t>
  </si>
  <si>
    <t xml:space="preserve">2</t>
  </si>
  <si>
    <t xml:space="preserve">Deuxieme vague</t>
  </si>
  <si>
    <t xml:space="preserve">3</t>
  </si>
  <si>
    <t xml:space="preserve">Confort</t>
  </si>
  <si>
    <t xml:space="preserve">A traiter quand le catalogue est stabilise</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</si>
</sst>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9"/>
      <color rgb="FF595959"/>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0"/>
      <name val="Arial"/>
      <family val="0"/>
      <charset val="1"/>
    </font>
  </fonts>
  <fills count="7">
    <fill>
      <patternFill patternType="none"/>
    </fill>
    <fill>
      <patternFill patternType="gray125"/>
    </fill>
    <fill>
      <patternFill patternType="solid">
        <fgColor rgb="FFFFF2CC"/>
        <bgColor rgb="FFF2F2F2"/>
      </patternFill>
    </fill>
    <fill>
      <patternFill patternType="solid">
        <fgColor rgb="FFE2EFDA"/>
        <bgColor rgb="FFF2F2F2"/>
      </patternFill>
    </fill>
    <fill>
      <patternFill patternType="solid">
        <fgColor rgb="FFD9E2F3"/>
        <bgColor rgb="FFE2EFDA"/>
      </patternFill>
    </fill>
    <fill>
      <patternFill patternType="solid">
        <fgColor rgb="FF1F3864"/>
        <bgColor rgb="FF333333"/>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D9E2F3"/>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5"/>
  </cols>
  <sheetData>
    <row r="2" customFormat="false" ht="19.7" hidden="false" customHeight="false" outlineLevel="0" collapsed="false">
      <c r="B2" s="1" t="s">
        <v>0</v>
      </c>
    </row>
    <row r="3" customFormat="false" ht="15" hidden="false" customHeight="false" outlineLevel="0" collapsed="false">
      <c r="B3" s="2" t="s">
        <v>1</v>
      </c>
    </row>
    <row r="5" customFormat="false" ht="42" hidden="false" customHeight="true" outlineLevel="0" collapsed="false">
      <c r="B5" s="3" t="s">
        <v>2</v>
      </c>
      <c r="C5" s="4" t="s">
        <v>3</v>
      </c>
    </row>
    <row r="6" customFormat="false" ht="42" hidden="false" customHeight="true" outlineLevel="0" collapsed="false">
      <c r="B6" s="3" t="s">
        <v>4</v>
      </c>
      <c r="C6" s="4" t="s">
        <v>5</v>
      </c>
    </row>
    <row r="7" customFormat="false" ht="42" hidden="false" customHeight="true" outlineLevel="0" collapsed="false">
      <c r="B7" s="3" t="s">
        <v>6</v>
      </c>
      <c r="C7" s="4" t="s">
        <v>7</v>
      </c>
    </row>
    <row r="8" customFormat="false" ht="42" hidden="false" customHeight="true" outlineLevel="0" collapsed="false">
      <c r="B8" s="3" t="s">
        <v>8</v>
      </c>
      <c r="C8" s="4" t="s">
        <v>9</v>
      </c>
    </row>
    <row r="9" customFormat="false" ht="42" hidden="false" customHeight="true" outlineLevel="0" collapsed="false">
      <c r="B9" s="3" t="s">
        <v>10</v>
      </c>
      <c r="C9" s="4" t="s">
        <v>11</v>
      </c>
    </row>
    <row r="10" customFormat="false" ht="42" hidden="false" customHeight="true" outlineLevel="0" collapsed="false">
      <c r="B10" s="3" t="s">
        <v>12</v>
      </c>
      <c r="C10" s="4" t="s">
        <v>13</v>
      </c>
    </row>
    <row r="11" customFormat="false" ht="42" hidden="false" customHeight="true" outlineLevel="0" collapsed="false">
      <c r="B11" s="3" t="s">
        <v>14</v>
      </c>
      <c r="C11" s="4" t="s">
        <v>15</v>
      </c>
    </row>
    <row r="12" customFormat="false" ht="42" hidden="false" customHeight="true" outlineLevel="0" collapsed="false">
      <c r="B12" s="3" t="s">
        <v>16</v>
      </c>
      <c r="C12" s="4" t="s">
        <v>17</v>
      </c>
    </row>
    <row r="13" customFormat="false" ht="42" hidden="false" customHeight="true" outlineLevel="0" collapsed="false">
      <c r="B13" s="3" t="s">
        <v>18</v>
      </c>
      <c r="C13" s="4" t="s">
        <v>19</v>
      </c>
    </row>
    <row r="15" customFormat="false" ht="15" hidden="false" customHeight="false" outlineLevel="0" collapsed="false">
      <c r="B15" s="3" t="s">
        <v>20</v>
      </c>
    </row>
    <row r="16" customFormat="false" ht="15" hidden="false" customHeight="false" outlineLevel="0" collapsed="false">
      <c r="B16" s="5" t="s">
        <v>21</v>
      </c>
      <c r="C16" s="4" t="s">
        <v>22</v>
      </c>
    </row>
    <row r="17" customFormat="false" ht="15" hidden="false" customHeight="false" outlineLevel="0" collapsed="false">
      <c r="B17" s="6" t="s">
        <v>23</v>
      </c>
      <c r="C17" s="4" t="s">
        <v>24</v>
      </c>
    </row>
    <row r="18" customFormat="false" ht="15" hidden="false" customHeight="false" outlineLevel="0" collapsed="false">
      <c r="B18" s="7" t="s">
        <v>25</v>
      </c>
      <c r="C18" s="4" t="s">
        <v>26</v>
      </c>
    </row>
    <row r="20" customFormat="false" ht="15" hidden="false" customHeight="false" outlineLevel="0" collapsed="false">
      <c r="B20" s="3" t="s">
        <v>27</v>
      </c>
    </row>
    <row r="21" customFormat="false" ht="30" hidden="false" customHeight="true" outlineLevel="0" collapsed="false">
      <c r="C21" s="8" t="s">
        <v>28</v>
      </c>
    </row>
    <row r="22" customFormat="false" ht="30" hidden="false" customHeight="true" outlineLevel="0" collapsed="false">
      <c r="C22" s="8" t="s">
        <v>29</v>
      </c>
    </row>
    <row r="23" customFormat="false" ht="30" hidden="false" customHeight="true" outlineLevel="0" collapsed="false">
      <c r="C23" s="8" t="s">
        <v>30</v>
      </c>
    </row>
    <row r="24" customFormat="false" ht="30" hidden="false" customHeight="true" outlineLevel="0" collapsed="false">
      <c r="C24" s="8" t="s">
        <v>31</v>
      </c>
    </row>
    <row r="25" customFormat="false" ht="30" hidden="false" customHeight="true" outlineLevel="0" collapsed="false">
      <c r="C25" s="8"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16"/>
    <col collapsed="false" customWidth="true" hidden="false" outlineLevel="0" max="5" min="5" style="0" width="38"/>
    <col collapsed="false" customWidth="true" hidden="false" outlineLevel="0" max="7" min="6" style="0" width="16"/>
  </cols>
  <sheetData>
    <row r="2" customFormat="false" ht="19.7" hidden="false" customHeight="false" outlineLevel="0" collapsed="false">
      <c r="B2" s="1" t="s">
        <v>33</v>
      </c>
    </row>
    <row r="3" customFormat="false" ht="15" hidden="false" customHeight="false" outlineLevel="0" collapsed="false">
      <c r="B3" s="2" t="s">
        <v>34</v>
      </c>
    </row>
    <row r="5" customFormat="false" ht="31.5" hidden="false" customHeight="true" outlineLevel="0" collapsed="false">
      <c r="A5" s="9"/>
      <c r="B5" s="9" t="s">
        <v>35</v>
      </c>
      <c r="C5" s="9" t="s">
        <v>36</v>
      </c>
      <c r="D5" s="9" t="s">
        <v>37</v>
      </c>
      <c r="E5" s="9" t="s">
        <v>38</v>
      </c>
      <c r="F5" s="9" t="s">
        <v>39</v>
      </c>
      <c r="G5" s="9" t="s">
        <v>40</v>
      </c>
    </row>
    <row r="6" customFormat="false" ht="15" hidden="false" customHeight="false" outlineLevel="0" collapsed="false">
      <c r="B6" s="10" t="s">
        <v>41</v>
      </c>
      <c r="C6" s="11" t="n">
        <f aca="false">COUNTIF(Equipements!$B$6:$B$200,$B6)</f>
        <v>12</v>
      </c>
      <c r="D6" s="11" t="n">
        <f aca="false">COUNTIFS(Equipements!$B$6:$B$200,$B6,Equipements!$F$6:$F$200,"Oui*")</f>
        <v>1</v>
      </c>
      <c r="E6" s="11" t="n">
        <f aca="false">COUNTIF(Taches!$D$6:$D$250,$B6)</f>
        <v>20</v>
      </c>
      <c r="F6" s="11" t="n">
        <f aca="false">COUNTIFS(Taches!$D$6:$D$250,$B6,Taches!$F$6:$F$250,"DIY")</f>
        <v>20</v>
      </c>
      <c r="G6" s="11" t="n">
        <f aca="false">COUNTIFS(Taches!$D$6:$D$250,$B6,Taches!$F$6:$F$250,"Pro")</f>
        <v>0</v>
      </c>
    </row>
    <row r="7" customFormat="false" ht="15" hidden="false" customHeight="false" outlineLevel="0" collapsed="false">
      <c r="B7" s="10" t="s">
        <v>42</v>
      </c>
      <c r="C7" s="11" t="n">
        <f aca="false">COUNTIF(Equipements!$B$6:$B$200,$B7)</f>
        <v>4</v>
      </c>
      <c r="D7" s="11" t="n">
        <f aca="false">COUNTIFS(Equipements!$B$6:$B$200,$B7,Equipements!$F$6:$F$200,"Oui*")</f>
        <v>0</v>
      </c>
      <c r="E7" s="11" t="n">
        <f aca="false">COUNTIF(Taches!$D$6:$D$250,$B7)</f>
        <v>9</v>
      </c>
      <c r="F7" s="11" t="n">
        <f aca="false">COUNTIFS(Taches!$D$6:$D$250,$B7,Taches!$F$6:$F$250,"DIY")</f>
        <v>9</v>
      </c>
      <c r="G7" s="11" t="n">
        <f aca="false">COUNTIFS(Taches!$D$6:$D$250,$B7,Taches!$F$6:$F$250,"Pro")</f>
        <v>0</v>
      </c>
    </row>
    <row r="8" customFormat="false" ht="15" hidden="false" customHeight="false" outlineLevel="0" collapsed="false">
      <c r="B8" s="10" t="s">
        <v>43</v>
      </c>
      <c r="C8" s="11" t="n">
        <f aca="false">COUNTIF(Equipements!$B$6:$B$200,$B8)</f>
        <v>29</v>
      </c>
      <c r="D8" s="11" t="n">
        <f aca="false">COUNTIFS(Equipements!$B$6:$B$200,$B8,Equipements!$F$6:$F$200,"Oui*")</f>
        <v>15</v>
      </c>
      <c r="E8" s="11" t="n">
        <f aca="false">COUNTIF(Taches!$D$6:$D$250,$B8)</f>
        <v>49</v>
      </c>
      <c r="F8" s="11" t="n">
        <f aca="false">COUNTIFS(Taches!$D$6:$D$250,$B8,Taches!$F$6:$F$250,"DIY")</f>
        <v>24</v>
      </c>
      <c r="G8" s="11" t="n">
        <f aca="false">COUNTIFS(Taches!$D$6:$D$250,$B8,Taches!$F$6:$F$250,"Pro")</f>
        <v>25</v>
      </c>
    </row>
    <row r="9" customFormat="false" ht="15" hidden="false" customHeight="false" outlineLevel="0" collapsed="false">
      <c r="B9" s="10" t="s">
        <v>44</v>
      </c>
      <c r="C9" s="11" t="n">
        <f aca="false">COUNTIF(Equipements!$B$6:$B$200,$B9)</f>
        <v>4</v>
      </c>
      <c r="D9" s="11" t="n">
        <f aca="false">COUNTIFS(Equipements!$B$6:$B$200,$B9,Equipements!$F$6:$F$200,"Oui*")</f>
        <v>0</v>
      </c>
      <c r="E9" s="11" t="n">
        <f aca="false">COUNTIF(Taches!$D$6:$D$250,$B9)</f>
        <v>4</v>
      </c>
      <c r="F9" s="11" t="n">
        <f aca="false">COUNTIFS(Taches!$D$6:$D$250,$B9,Taches!$F$6:$F$250,"DIY")</f>
        <v>4</v>
      </c>
      <c r="G9" s="11" t="n">
        <f aca="false">COUNTIFS(Taches!$D$6:$D$250,$B9,Taches!$F$6:$F$250,"Pro")</f>
        <v>0</v>
      </c>
    </row>
    <row r="10" customFormat="false" ht="15" hidden="false" customHeight="false" outlineLevel="0" collapsed="false">
      <c r="B10" s="10" t="s">
        <v>45</v>
      </c>
      <c r="C10" s="11" t="n">
        <f aca="false">COUNTIF(Equipements!$B$6:$B$200,$B10)</f>
        <v>0</v>
      </c>
      <c r="D10" s="11" t="n">
        <f aca="false">COUNTIFS(Equipements!$B$6:$B$200,$B10,Equipements!$F$6:$F$200,"Oui*")</f>
        <v>0</v>
      </c>
      <c r="E10" s="11" t="n">
        <f aca="false">COUNTIF(Taches!$D$6:$D$250,$B10)</f>
        <v>0</v>
      </c>
      <c r="F10" s="11" t="n">
        <f aca="false">COUNTIFS(Taches!$D$6:$D$250,$B10,Taches!$F$6:$F$250,"DIY")</f>
        <v>0</v>
      </c>
      <c r="G10" s="11" t="n">
        <f aca="false">COUNTIFS(Taches!$D$6:$D$250,$B10,Taches!$F$6:$F$250,"Pro")</f>
        <v>0</v>
      </c>
    </row>
    <row r="11" customFormat="false" ht="15" hidden="false" customHeight="false" outlineLevel="0" collapsed="false">
      <c r="B11" s="10" t="s">
        <v>46</v>
      </c>
      <c r="C11" s="11" t="n">
        <f aca="false">COUNTIF(Equipements!$B$6:$B$200,$B11)</f>
        <v>15</v>
      </c>
      <c r="D11" s="11" t="n">
        <f aca="false">COUNTIFS(Equipements!$B$6:$B$200,$B11,Equipements!$F$6:$F$200,"Oui*")</f>
        <v>3</v>
      </c>
      <c r="E11" s="11" t="n">
        <f aca="false">COUNTIF(Taches!$D$6:$D$250,$B11)</f>
        <v>20</v>
      </c>
      <c r="F11" s="11" t="n">
        <f aca="false">COUNTIFS(Taches!$D$6:$D$250,$B11,Taches!$F$6:$F$250,"DIY")</f>
        <v>18</v>
      </c>
      <c r="G11" s="11" t="n">
        <f aca="false">COUNTIFS(Taches!$D$6:$D$250,$B11,Taches!$F$6:$F$250,"Pro")</f>
        <v>2</v>
      </c>
    </row>
    <row r="12" customFormat="false" ht="15" hidden="false" customHeight="false" outlineLevel="0" collapsed="false">
      <c r="B12" s="10" t="s">
        <v>47</v>
      </c>
      <c r="C12" s="11" t="n">
        <f aca="false">COUNTIF(Equipements!$B$6:$B$200,$B12)</f>
        <v>33</v>
      </c>
      <c r="D12" s="11" t="n">
        <f aca="false">COUNTIFS(Equipements!$B$6:$B$200,$B12,Equipements!$F$6:$F$200,"Oui*")</f>
        <v>5</v>
      </c>
      <c r="E12" s="11" t="n">
        <f aca="false">COUNTIF(Taches!$D$6:$D$250,$B12)</f>
        <v>40</v>
      </c>
      <c r="F12" s="11" t="n">
        <f aca="false">COUNTIFS(Taches!$D$6:$D$250,$B12,Taches!$F$6:$F$250,"DIY")</f>
        <v>30</v>
      </c>
      <c r="G12" s="11" t="n">
        <f aca="false">COUNTIFS(Taches!$D$6:$D$250,$B12,Taches!$F$6:$F$250,"Pro")</f>
        <v>10</v>
      </c>
    </row>
    <row r="13" customFormat="false" ht="15" hidden="false" customHeight="false" outlineLevel="0" collapsed="false">
      <c r="B13" s="10" t="s">
        <v>48</v>
      </c>
      <c r="C13" s="11" t="n">
        <f aca="false">COUNTIF(Equipements!$B$6:$B$200,$B13)</f>
        <v>7</v>
      </c>
      <c r="D13" s="11" t="n">
        <f aca="false">COUNTIFS(Equipements!$B$6:$B$200,$B13,Equipements!$F$6:$F$200,"Oui*")</f>
        <v>1</v>
      </c>
      <c r="E13" s="11" t="n">
        <f aca="false">COUNTIF(Taches!$D$6:$D$250,$B13)</f>
        <v>9</v>
      </c>
      <c r="F13" s="11" t="n">
        <f aca="false">COUNTIFS(Taches!$D$6:$D$250,$B13,Taches!$F$6:$F$250,"DIY")</f>
        <v>5</v>
      </c>
      <c r="G13" s="11" t="n">
        <f aca="false">COUNTIFS(Taches!$D$6:$D$250,$B13,Taches!$F$6:$F$250,"Pro")</f>
        <v>4</v>
      </c>
    </row>
    <row r="14" customFormat="false" ht="15" hidden="false" customHeight="false" outlineLevel="0" collapsed="false">
      <c r="B14" s="10" t="s">
        <v>49</v>
      </c>
      <c r="C14" s="11" t="n">
        <f aca="false">COUNTIF(Equipements!$B$6:$B$200,$B14)</f>
        <v>3</v>
      </c>
      <c r="D14" s="11" t="n">
        <f aca="false">COUNTIFS(Equipements!$B$6:$B$200,$B14,Equipements!$F$6:$F$200,"Oui*")</f>
        <v>2</v>
      </c>
      <c r="E14" s="11" t="n">
        <f aca="false">COUNTIF(Taches!$D$6:$D$250,$B14)</f>
        <v>3</v>
      </c>
      <c r="F14" s="11" t="n">
        <f aca="false">COUNTIFS(Taches!$D$6:$D$250,$B14,Taches!$F$6:$F$250,"DIY")</f>
        <v>0</v>
      </c>
      <c r="G14" s="11" t="n">
        <f aca="false">COUNTIFS(Taches!$D$6:$D$250,$B14,Taches!$F$6:$F$250,"Pro")</f>
        <v>3</v>
      </c>
    </row>
    <row r="15" customFormat="false" ht="15" hidden="false" customHeight="false" outlineLevel="0" collapsed="false">
      <c r="B15" s="10" t="s">
        <v>50</v>
      </c>
      <c r="C15" s="11" t="n">
        <f aca="false">COUNTIF(Equipements!$B$6:$B$200,$B15)</f>
        <v>0</v>
      </c>
      <c r="D15" s="11" t="n">
        <f aca="false">COUNTIFS(Equipements!$B$6:$B$200,$B15,Equipements!$F$6:$F$200,"Oui*")</f>
        <v>0</v>
      </c>
      <c r="E15" s="11" t="n">
        <f aca="false">COUNTIF(Taches!$D$6:$D$250,$B15)</f>
        <v>0</v>
      </c>
      <c r="F15" s="11" t="n">
        <f aca="false">COUNTIFS(Taches!$D$6:$D$250,$B15,Taches!$F$6:$F$250,"DIY")</f>
        <v>0</v>
      </c>
      <c r="G15" s="11" t="n">
        <f aca="false">COUNTIFS(Taches!$D$6:$D$250,$B15,Taches!$F$6:$F$250,"Pro")</f>
        <v>0</v>
      </c>
    </row>
    <row r="16" customFormat="false" ht="15" hidden="false" customHeight="false" outlineLevel="0" collapsed="false">
      <c r="B16" s="12" t="s">
        <v>51</v>
      </c>
      <c r="C16" s="13" t="n">
        <f aca="false">SUM(C6:C15)</f>
        <v>107</v>
      </c>
      <c r="D16" s="13" t="n">
        <f aca="false">SUM(D6:D15)</f>
        <v>27</v>
      </c>
      <c r="E16" s="13" t="n">
        <f aca="false">SUM(E6:E15)</f>
        <v>154</v>
      </c>
      <c r="F16" s="13" t="n">
        <f aca="false">SUM(F6:F15)</f>
        <v>110</v>
      </c>
      <c r="G16" s="13" t="n">
        <f aca="false">SUM(G6:G15)</f>
        <v>44</v>
      </c>
    </row>
    <row r="19" customFormat="false" ht="15" hidden="false" customHeight="false" outlineLevel="0" collapsed="false">
      <c r="B19" s="3" t="s">
        <v>52</v>
      </c>
    </row>
    <row r="20" customFormat="false" ht="31.5" hidden="false" customHeight="true" outlineLevel="0" collapsed="false">
      <c r="A20" s="9"/>
      <c r="B20" s="9" t="s">
        <v>53</v>
      </c>
      <c r="C20" s="9" t="s">
        <v>54</v>
      </c>
      <c r="D20" s="9" t="s">
        <v>55</v>
      </c>
      <c r="E20" s="9"/>
      <c r="F20" s="9"/>
      <c r="G20" s="9"/>
    </row>
    <row r="21" customFormat="false" ht="15" hidden="false" customHeight="false" outlineLevel="0" collapsed="false">
      <c r="B21" s="10" t="s">
        <v>56</v>
      </c>
      <c r="C21" s="11" t="n">
        <f aca="false">COUNTIF(Taches!$O$6:$O$250,$B21)</f>
        <v>128</v>
      </c>
      <c r="D21" s="14" t="n">
        <f aca="false">IFERROR(C21/COUNTA(Taches!$A$6:$A$250),0)</f>
        <v>0.831168831168831</v>
      </c>
      <c r="E21" s="15" t="s">
        <v>57</v>
      </c>
    </row>
    <row r="22" customFormat="false" ht="15" hidden="false" customHeight="false" outlineLevel="0" collapsed="false">
      <c r="B22" s="10" t="s">
        <v>58</v>
      </c>
      <c r="C22" s="11" t="n">
        <f aca="false">COUNTIF(Taches!$O$6:$O$250,$B22)</f>
        <v>19</v>
      </c>
      <c r="D22" s="14" t="n">
        <f aca="false">IFERROR(C22/COUNTA(Taches!$A$6:$A$250),0)</f>
        <v>0.123376623376623</v>
      </c>
      <c r="E22" s="15" t="s">
        <v>59</v>
      </c>
    </row>
    <row r="23" customFormat="false" ht="15" hidden="false" customHeight="false" outlineLevel="0" collapsed="false">
      <c r="B23" s="10" t="s">
        <v>60</v>
      </c>
      <c r="C23" s="11" t="n">
        <f aca="false">COUNTIF(Taches!$O$6:$O$250,$B23)</f>
        <v>7</v>
      </c>
      <c r="D23" s="14" t="n">
        <f aca="false">IFERROR(C23/COUNTA(Taches!$A$6:$A$250),0)</f>
        <v>0.0454545454545455</v>
      </c>
      <c r="E23" s="15" t="s">
        <v>61</v>
      </c>
    </row>
    <row r="26" customFormat="false" ht="15" hidden="false" customHeight="false" outlineLevel="0" collapsed="false">
      <c r="B26" s="3" t="s">
        <v>62</v>
      </c>
    </row>
    <row r="27" customFormat="false" ht="23.85" hidden="false" customHeight="false" outlineLevel="0" collapsed="false">
      <c r="B27" s="10" t="s">
        <v>63</v>
      </c>
      <c r="C27" s="16" t="n">
        <f aca="false">COUNTIF(Taches!$N$6:$N$250,"Oui*")</f>
        <v>31</v>
      </c>
    </row>
    <row r="28" customFormat="false" ht="15" hidden="false" customHeight="false" outlineLevel="0" collapsed="false">
      <c r="B28" s="10" t="s">
        <v>64</v>
      </c>
      <c r="C28" s="16" t="n">
        <f aca="false">COUNTIF(Taches!$F$6:$F$250,"DIY")</f>
        <v>110</v>
      </c>
    </row>
    <row r="29" customFormat="false" ht="23.85" hidden="false" customHeight="false" outlineLevel="0" collapsed="false">
      <c r="B29" s="10" t="s">
        <v>65</v>
      </c>
      <c r="C29" s="16" t="n">
        <f aca="false">COUNTIF(Taches!$F$6:$F$250,"Pro")</f>
        <v>44</v>
      </c>
    </row>
    <row r="30" customFormat="false" ht="23.85" hidden="false" customHeight="false" outlineLevel="0" collapsed="false">
      <c r="B30" s="10" t="s">
        <v>66</v>
      </c>
      <c r="C30" s="16" t="n">
        <f aca="false">COUNTIF(Equipements!$N$6:$N$200,1)</f>
        <v>37</v>
      </c>
    </row>
    <row r="31" customFormat="false" ht="23.85" hidden="false" customHeight="false" outlineLevel="0" collapsed="false">
      <c r="B31" s="10" t="s">
        <v>67</v>
      </c>
      <c r="C31" s="16" t="n">
        <f aca="false">IFERROR(SUMPRODUCT((Taches!$F$6:$F$250="DIY")*(Taches!$G$6:$G$250&gt;0)*Taches!$J$6:$J$250*(12/IF(Taches!$G$6:$G$250=0,1,Taches!$G$6:$G$250)))/60,0)</f>
        <v>199.663888888889</v>
      </c>
    </row>
    <row r="33" customFormat="false" ht="53.7" hidden="false" customHeight="false" outlineLevel="0" collapsed="false">
      <c r="B33" s="8" t="s">
        <v>68</v>
      </c>
    </row>
    <row r="36" customFormat="false" ht="15" hidden="false" customHeight="false" outlineLevel="0" collapsed="false">
      <c r="B36" s="3" t="s">
        <v>69</v>
      </c>
    </row>
    <row r="37" customFormat="false" ht="31.5" hidden="false" customHeight="true" outlineLevel="0" collapsed="false">
      <c r="A37" s="9"/>
      <c r="B37" s="9" t="s">
        <v>70</v>
      </c>
      <c r="C37" s="9" t="s">
        <v>36</v>
      </c>
      <c r="D37" s="9" t="s">
        <v>71</v>
      </c>
      <c r="E37" s="9"/>
      <c r="F37" s="9"/>
      <c r="G37" s="9"/>
    </row>
    <row r="38" customFormat="false" ht="15" hidden="false" customHeight="false" outlineLevel="0" collapsed="false">
      <c r="B38" s="10" t="s">
        <v>72</v>
      </c>
      <c r="C38" s="11" t="n">
        <f aca="false">COUNTIF(Equipements!$O$6:$O$200,$B38)</f>
        <v>0</v>
      </c>
      <c r="D38" s="14" t="n">
        <f aca="false">IFERROR(C38/COUNTA(Equipements!$A$6:$A$200),0)</f>
        <v>0</v>
      </c>
    </row>
    <row r="39" customFormat="false" ht="15" hidden="false" customHeight="false" outlineLevel="0" collapsed="false">
      <c r="B39" s="10" t="s">
        <v>73</v>
      </c>
      <c r="C39" s="11" t="n">
        <f aca="false">COUNTIF(Equipements!$O$6:$O$200,$B39)</f>
        <v>0</v>
      </c>
      <c r="D39" s="14" t="n">
        <f aca="false">IFERROR(C39/COUNTA(Equipements!$A$6:$A$200),0)</f>
        <v>0</v>
      </c>
    </row>
    <row r="40" customFormat="false" ht="15" hidden="false" customHeight="false" outlineLevel="0" collapsed="false">
      <c r="B40" s="10" t="s">
        <v>74</v>
      </c>
      <c r="C40" s="11" t="n">
        <f aca="false">COUNTIF(Equipements!$O$6:$O$200,$B40)</f>
        <v>1</v>
      </c>
      <c r="D40" s="14" t="n">
        <f aca="false">IFERROR(C40/COUNTA(Equipements!$A$6:$A$200),0)</f>
        <v>0.00934579439252336</v>
      </c>
    </row>
    <row r="41" customFormat="false" ht="15" hidden="false" customHeight="false" outlineLevel="0" collapsed="false">
      <c r="B41" s="10" t="s">
        <v>75</v>
      </c>
      <c r="C41" s="11" t="n">
        <f aca="false">COUNTIF(Equipements!$O$6:$O$200,$B41)</f>
        <v>15</v>
      </c>
      <c r="D41" s="14" t="n">
        <f aca="false">IFERROR(C41/COUNTA(Equipements!$A$6:$A$200),0)</f>
        <v>0.14018691588785</v>
      </c>
    </row>
    <row r="42" customFormat="false" ht="15" hidden="false" customHeight="false" outlineLevel="0" collapsed="false">
      <c r="B42" s="10" t="s">
        <v>76</v>
      </c>
      <c r="C42" s="11" t="n">
        <f aca="false">COUNTIF(Equipements!$O$6:$O$200,$B42)</f>
        <v>11</v>
      </c>
      <c r="D42" s="14" t="n">
        <f aca="false">IFERROR(C42/COUNTA(Equipements!$A$6:$A$200),0)</f>
        <v>0.102803738317757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8"/>
    <col collapsed="false" customWidth="true" hidden="false" outlineLevel="0" max="4" min="4" style="0" width="38"/>
    <col collapsed="false" customWidth="true" hidden="false" outlineLevel="0" max="5" min="5" style="0" width="14"/>
    <col collapsed="false" customWidth="true" hidden="false" outlineLevel="0" max="6" min="6" style="0" width="15"/>
    <col collapsed="false" customWidth="true" hidden="false" outlineLevel="0" max="7" min="7" style="0" width="40"/>
    <col collapsed="false" customWidth="true" hidden="false" outlineLevel="0" max="8" min="8" style="0" width="34"/>
    <col collapsed="false" customWidth="true" hidden="false" outlineLevel="0" max="9" min="9" style="0" width="26"/>
    <col collapsed="false" customWidth="true" hidden="false" outlineLevel="0" max="10" min="10" style="0" width="34"/>
    <col collapsed="false" customWidth="true" hidden="false" outlineLevel="0" max="11" min="11" style="0" width="16"/>
    <col collapsed="false" customWidth="true" hidden="false" outlineLevel="0" max="12" min="12" style="0" width="46"/>
    <col collapsed="false" customWidth="true" hidden="false" outlineLevel="0" max="14" min="13" style="0" width="11"/>
    <col collapsed="false" customWidth="true" hidden="false" outlineLevel="0" max="15" min="15" style="0" width="16"/>
    <col collapsed="false" customWidth="true" hidden="false" outlineLevel="0" max="18" min="16" style="0" width="44"/>
  </cols>
  <sheetData>
    <row r="2" customFormat="false" ht="19.7" hidden="false" customHeight="false" outlineLevel="0" collapsed="false">
      <c r="A2" s="1" t="s">
        <v>77</v>
      </c>
    </row>
    <row r="3" customFormat="false" ht="15" hidden="false" customHeight="false" outlineLevel="0" collapsed="false">
      <c r="A3" s="2" t="s">
        <v>78</v>
      </c>
    </row>
    <row r="5" customFormat="false" ht="31.5" hidden="false" customHeight="true" outlineLevel="0" collapsed="false">
      <c r="A5" s="9" t="s">
        <v>79</v>
      </c>
      <c r="B5" s="9" t="s">
        <v>35</v>
      </c>
      <c r="C5" s="9" t="s">
        <v>80</v>
      </c>
      <c r="D5" s="9" t="s">
        <v>81</v>
      </c>
      <c r="E5" s="9" t="s">
        <v>82</v>
      </c>
      <c r="F5" s="9" t="s">
        <v>21</v>
      </c>
      <c r="G5" s="9" t="s">
        <v>83</v>
      </c>
      <c r="H5" s="9" t="s">
        <v>84</v>
      </c>
      <c r="I5" s="9" t="s">
        <v>85</v>
      </c>
      <c r="J5" s="9" t="s">
        <v>86</v>
      </c>
      <c r="K5" s="9" t="s">
        <v>87</v>
      </c>
      <c r="L5" s="9" t="s">
        <v>88</v>
      </c>
      <c r="M5" s="9" t="s">
        <v>54</v>
      </c>
      <c r="N5" s="9" t="s">
        <v>89</v>
      </c>
      <c r="O5" s="9" t="s">
        <v>70</v>
      </c>
      <c r="P5" s="9" t="s">
        <v>90</v>
      </c>
      <c r="Q5" s="9" t="s">
        <v>91</v>
      </c>
      <c r="R5" s="9" t="s">
        <v>92</v>
      </c>
    </row>
    <row r="6" customFormat="false" ht="35.05" hidden="false" customHeight="false" outlineLevel="0" collapsed="false">
      <c r="A6" s="17" t="s">
        <v>93</v>
      </c>
      <c r="B6" s="18" t="s">
        <v>43</v>
      </c>
      <c r="C6" s="19" t="s">
        <v>94</v>
      </c>
      <c r="D6" s="18" t="s">
        <v>95</v>
      </c>
      <c r="E6" s="16" t="s">
        <v>96</v>
      </c>
      <c r="F6" s="17" t="s">
        <v>97</v>
      </c>
      <c r="G6" s="19" t="s">
        <v>98</v>
      </c>
      <c r="H6" s="19" t="s">
        <v>99</v>
      </c>
      <c r="I6" s="19" t="s">
        <v>100</v>
      </c>
      <c r="J6" s="19" t="s">
        <v>101</v>
      </c>
      <c r="K6" s="16" t="s">
        <v>102</v>
      </c>
      <c r="L6" s="19" t="s">
        <v>103</v>
      </c>
      <c r="M6" s="16" t="n">
        <f aca="false">COUNTIF(Taches!$B$6:$B$250,$A6)</f>
        <v>3</v>
      </c>
      <c r="N6" s="16" t="n">
        <v>1</v>
      </c>
      <c r="O6" s="20" t="s">
        <v>104</v>
      </c>
      <c r="P6" s="21" t="s">
        <v>105</v>
      </c>
      <c r="Q6" s="21" t="s">
        <v>106</v>
      </c>
      <c r="R6" s="21" t="s">
        <v>107</v>
      </c>
    </row>
    <row r="7" customFormat="false" ht="23.85" hidden="false" customHeight="false" outlineLevel="0" collapsed="false">
      <c r="A7" s="17" t="s">
        <v>108</v>
      </c>
      <c r="B7" s="18" t="s">
        <v>43</v>
      </c>
      <c r="C7" s="19" t="s">
        <v>94</v>
      </c>
      <c r="D7" s="18" t="s">
        <v>109</v>
      </c>
      <c r="E7" s="16" t="s">
        <v>110</v>
      </c>
      <c r="F7" s="17" t="s">
        <v>97</v>
      </c>
      <c r="G7" s="19" t="s">
        <v>111</v>
      </c>
      <c r="H7" s="19" t="s">
        <v>99</v>
      </c>
      <c r="I7" s="19" t="s">
        <v>112</v>
      </c>
      <c r="J7" s="19" t="s">
        <v>113</v>
      </c>
      <c r="K7" s="16" t="s">
        <v>114</v>
      </c>
      <c r="L7" s="19" t="s">
        <v>115</v>
      </c>
      <c r="M7" s="16" t="n">
        <f aca="false">COUNTIF(Taches!$B$6:$B$250,$A7)</f>
        <v>2</v>
      </c>
      <c r="N7" s="16" t="n">
        <v>1</v>
      </c>
      <c r="O7" s="20" t="s">
        <v>104</v>
      </c>
      <c r="P7" s="21" t="s">
        <v>116</v>
      </c>
      <c r="Q7" s="21" t="s">
        <v>117</v>
      </c>
      <c r="R7" s="21" t="s">
        <v>118</v>
      </c>
    </row>
    <row r="8" customFormat="false" ht="23.85" hidden="false" customHeight="false" outlineLevel="0" collapsed="false">
      <c r="A8" s="17" t="s">
        <v>119</v>
      </c>
      <c r="B8" s="18" t="s">
        <v>43</v>
      </c>
      <c r="C8" s="19" t="s">
        <v>94</v>
      </c>
      <c r="D8" s="18" t="s">
        <v>120</v>
      </c>
      <c r="E8" s="16" t="s">
        <v>96</v>
      </c>
      <c r="F8" s="17" t="s">
        <v>97</v>
      </c>
      <c r="G8" s="19" t="s">
        <v>121</v>
      </c>
      <c r="H8" s="19" t="s">
        <v>99</v>
      </c>
      <c r="I8" s="19" t="s">
        <v>112</v>
      </c>
      <c r="J8" s="19" t="s">
        <v>122</v>
      </c>
      <c r="K8" s="16" t="s">
        <v>123</v>
      </c>
      <c r="L8" s="19" t="s">
        <v>124</v>
      </c>
      <c r="M8" s="16" t="n">
        <f aca="false">COUNTIF(Taches!$B$6:$B$250,$A8)</f>
        <v>2</v>
      </c>
      <c r="N8" s="16" t="n">
        <v>1</v>
      </c>
      <c r="O8" s="20" t="s">
        <v>104</v>
      </c>
      <c r="P8" s="21" t="s">
        <v>125</v>
      </c>
      <c r="Q8" s="21" t="s">
        <v>126</v>
      </c>
      <c r="R8" s="21" t="s">
        <v>127</v>
      </c>
    </row>
    <row r="9" customFormat="false" ht="23.85" hidden="false" customHeight="false" outlineLevel="0" collapsed="false">
      <c r="A9" s="17" t="s">
        <v>128</v>
      </c>
      <c r="B9" s="18" t="s">
        <v>43</v>
      </c>
      <c r="C9" s="19" t="s">
        <v>94</v>
      </c>
      <c r="D9" s="18" t="s">
        <v>129</v>
      </c>
      <c r="E9" s="16" t="s">
        <v>96</v>
      </c>
      <c r="F9" s="17" t="s">
        <v>97</v>
      </c>
      <c r="G9" s="19" t="s">
        <v>130</v>
      </c>
      <c r="H9" s="19" t="s">
        <v>99</v>
      </c>
      <c r="I9" s="19" t="s">
        <v>112</v>
      </c>
      <c r="J9" s="19" t="s">
        <v>122</v>
      </c>
      <c r="K9" s="16" t="s">
        <v>131</v>
      </c>
      <c r="L9" s="19" t="s">
        <v>132</v>
      </c>
      <c r="M9" s="16" t="n">
        <f aca="false">COUNTIF(Taches!$B$6:$B$250,$A9)</f>
        <v>4</v>
      </c>
      <c r="N9" s="16" t="n">
        <v>1</v>
      </c>
      <c r="O9" s="20" t="s">
        <v>104</v>
      </c>
      <c r="P9" s="21" t="s">
        <v>133</v>
      </c>
      <c r="Q9" s="21" t="s">
        <v>134</v>
      </c>
      <c r="R9" s="21" t="s">
        <v>135</v>
      </c>
    </row>
    <row r="10" customFormat="false" ht="23.85" hidden="false" customHeight="false" outlineLevel="0" collapsed="false">
      <c r="A10" s="17" t="s">
        <v>136</v>
      </c>
      <c r="B10" s="18" t="s">
        <v>43</v>
      </c>
      <c r="C10" s="19" t="s">
        <v>94</v>
      </c>
      <c r="D10" s="18" t="s">
        <v>137</v>
      </c>
      <c r="E10" s="16" t="s">
        <v>138</v>
      </c>
      <c r="F10" s="17" t="s">
        <v>97</v>
      </c>
      <c r="G10" s="19" t="s">
        <v>139</v>
      </c>
      <c r="H10" s="19" t="s">
        <v>99</v>
      </c>
      <c r="I10" s="19" t="s">
        <v>112</v>
      </c>
      <c r="J10" s="19" t="s">
        <v>122</v>
      </c>
      <c r="K10" s="16" t="s">
        <v>140</v>
      </c>
      <c r="L10" s="19" t="s">
        <v>141</v>
      </c>
      <c r="M10" s="16" t="n">
        <f aca="false">COUNTIF(Taches!$B$6:$B$250,$A10)</f>
        <v>2</v>
      </c>
      <c r="N10" s="16" t="n">
        <v>1</v>
      </c>
      <c r="O10" s="20" t="s">
        <v>104</v>
      </c>
      <c r="P10" s="21" t="s">
        <v>142</v>
      </c>
      <c r="Q10" s="21" t="s">
        <v>143</v>
      </c>
      <c r="R10" s="21" t="s">
        <v>144</v>
      </c>
    </row>
    <row r="11" customFormat="false" ht="23.85" hidden="false" customHeight="false" outlineLevel="0" collapsed="false">
      <c r="A11" s="17" t="s">
        <v>145</v>
      </c>
      <c r="B11" s="18" t="s">
        <v>43</v>
      </c>
      <c r="C11" s="19" t="s">
        <v>94</v>
      </c>
      <c r="D11" s="18" t="s">
        <v>146</v>
      </c>
      <c r="E11" s="16" t="s">
        <v>147</v>
      </c>
      <c r="F11" s="17" t="s">
        <v>97</v>
      </c>
      <c r="G11" s="19" t="s">
        <v>148</v>
      </c>
      <c r="H11" s="19" t="s">
        <v>149</v>
      </c>
      <c r="I11" s="19" t="s">
        <v>112</v>
      </c>
      <c r="J11" s="19" t="s">
        <v>150</v>
      </c>
      <c r="K11" s="16" t="s">
        <v>151</v>
      </c>
      <c r="L11" s="19" t="s">
        <v>152</v>
      </c>
      <c r="M11" s="16" t="n">
        <f aca="false">COUNTIF(Taches!$B$6:$B$250,$A11)</f>
        <v>1</v>
      </c>
      <c r="N11" s="16" t="n">
        <v>2</v>
      </c>
      <c r="O11" s="20" t="s">
        <v>75</v>
      </c>
      <c r="P11" s="21" t="s">
        <v>153</v>
      </c>
      <c r="Q11" s="21" t="s">
        <v>154</v>
      </c>
      <c r="R11" s="21" t="s">
        <v>155</v>
      </c>
    </row>
    <row r="12" customFormat="false" ht="23.85" hidden="false" customHeight="false" outlineLevel="0" collapsed="false">
      <c r="A12" s="17" t="s">
        <v>156</v>
      </c>
      <c r="B12" s="18" t="s">
        <v>43</v>
      </c>
      <c r="C12" s="19" t="s">
        <v>94</v>
      </c>
      <c r="D12" s="18" t="s">
        <v>157</v>
      </c>
      <c r="E12" s="16" t="s">
        <v>158</v>
      </c>
      <c r="F12" s="17" t="s">
        <v>97</v>
      </c>
      <c r="G12" s="19" t="s">
        <v>159</v>
      </c>
      <c r="H12" s="19" t="s">
        <v>160</v>
      </c>
      <c r="I12" s="19" t="s">
        <v>161</v>
      </c>
      <c r="J12" s="19" t="s">
        <v>162</v>
      </c>
      <c r="K12" s="16" t="s">
        <v>151</v>
      </c>
      <c r="L12" s="19" t="s">
        <v>163</v>
      </c>
      <c r="M12" s="16" t="n">
        <f aca="false">COUNTIF(Taches!$B$6:$B$250,$A12)</f>
        <v>2</v>
      </c>
      <c r="N12" s="16" t="n">
        <v>1</v>
      </c>
      <c r="O12" s="20" t="s">
        <v>75</v>
      </c>
      <c r="P12" s="21" t="s">
        <v>164</v>
      </c>
      <c r="Q12" s="21" t="s">
        <v>165</v>
      </c>
      <c r="R12" s="21" t="s">
        <v>166</v>
      </c>
    </row>
    <row r="13" customFormat="false" ht="35.05" hidden="false" customHeight="false" outlineLevel="0" collapsed="false">
      <c r="A13" s="17" t="s">
        <v>167</v>
      </c>
      <c r="B13" s="18" t="s">
        <v>43</v>
      </c>
      <c r="C13" s="19" t="s">
        <v>94</v>
      </c>
      <c r="D13" s="18" t="s">
        <v>168</v>
      </c>
      <c r="E13" s="16" t="s">
        <v>96</v>
      </c>
      <c r="F13" s="17" t="s">
        <v>97</v>
      </c>
      <c r="G13" s="19" t="s">
        <v>169</v>
      </c>
      <c r="H13" s="19" t="s">
        <v>170</v>
      </c>
      <c r="I13" s="19" t="s">
        <v>112</v>
      </c>
      <c r="J13" s="19" t="s">
        <v>113</v>
      </c>
      <c r="K13" s="16" t="s">
        <v>171</v>
      </c>
      <c r="L13" s="19" t="s">
        <v>172</v>
      </c>
      <c r="M13" s="16" t="n">
        <f aca="false">COUNTIF(Taches!$B$6:$B$250,$A13)</f>
        <v>3</v>
      </c>
      <c r="N13" s="16" t="n">
        <v>1</v>
      </c>
      <c r="O13" s="20" t="s">
        <v>104</v>
      </c>
      <c r="P13" s="21" t="s">
        <v>173</v>
      </c>
      <c r="Q13" s="21" t="s">
        <v>174</v>
      </c>
      <c r="R13" s="21" t="s">
        <v>175</v>
      </c>
    </row>
    <row r="14" customFormat="false" ht="35.05" hidden="false" customHeight="false" outlineLevel="0" collapsed="false">
      <c r="A14" s="22" t="s">
        <v>176</v>
      </c>
      <c r="B14" s="10" t="s">
        <v>43</v>
      </c>
      <c r="C14" s="15" t="s">
        <v>94</v>
      </c>
      <c r="D14" s="10" t="s">
        <v>177</v>
      </c>
      <c r="E14" s="11" t="s">
        <v>178</v>
      </c>
      <c r="F14" s="11" t="s">
        <v>179</v>
      </c>
      <c r="G14" s="15" t="s">
        <v>180</v>
      </c>
      <c r="H14" s="15" t="s">
        <v>170</v>
      </c>
      <c r="I14" s="15" t="s">
        <v>112</v>
      </c>
      <c r="J14" s="15" t="s">
        <v>113</v>
      </c>
      <c r="K14" s="11" t="s">
        <v>131</v>
      </c>
      <c r="L14" s="15" t="s">
        <v>181</v>
      </c>
      <c r="M14" s="11" t="n">
        <f aca="false">COUNTIF(Taches!$B$6:$B$250,$A14)</f>
        <v>2</v>
      </c>
      <c r="N14" s="11" t="n">
        <v>1</v>
      </c>
      <c r="O14" s="20" t="s">
        <v>104</v>
      </c>
      <c r="P14" s="21" t="s">
        <v>182</v>
      </c>
      <c r="Q14" s="21" t="s">
        <v>174</v>
      </c>
      <c r="R14" s="21" t="s">
        <v>175</v>
      </c>
    </row>
    <row r="15" customFormat="false" ht="35.05" hidden="false" customHeight="false" outlineLevel="0" collapsed="false">
      <c r="A15" s="17" t="s">
        <v>183</v>
      </c>
      <c r="B15" s="18" t="s">
        <v>43</v>
      </c>
      <c r="C15" s="19" t="s">
        <v>94</v>
      </c>
      <c r="D15" s="18" t="s">
        <v>184</v>
      </c>
      <c r="E15" s="16" t="s">
        <v>110</v>
      </c>
      <c r="F15" s="17" t="s">
        <v>97</v>
      </c>
      <c r="G15" s="19" t="s">
        <v>185</v>
      </c>
      <c r="H15" s="19" t="s">
        <v>170</v>
      </c>
      <c r="I15" s="19" t="s">
        <v>112</v>
      </c>
      <c r="J15" s="19" t="s">
        <v>113</v>
      </c>
      <c r="K15" s="16" t="s">
        <v>186</v>
      </c>
      <c r="L15" s="19" t="s">
        <v>187</v>
      </c>
      <c r="M15" s="16" t="n">
        <f aca="false">COUNTIF(Taches!$B$6:$B$250,$A15)</f>
        <v>1</v>
      </c>
      <c r="N15" s="16" t="n">
        <v>2</v>
      </c>
      <c r="O15" s="20" t="s">
        <v>104</v>
      </c>
      <c r="P15" s="21" t="s">
        <v>188</v>
      </c>
      <c r="Q15" s="21" t="s">
        <v>174</v>
      </c>
      <c r="R15" s="21" t="s">
        <v>175</v>
      </c>
    </row>
    <row r="16" customFormat="false" ht="23.85" hidden="false" customHeight="false" outlineLevel="0" collapsed="false">
      <c r="A16" s="22" t="s">
        <v>189</v>
      </c>
      <c r="B16" s="10" t="s">
        <v>43</v>
      </c>
      <c r="C16" s="15" t="s">
        <v>94</v>
      </c>
      <c r="D16" s="10" t="s">
        <v>190</v>
      </c>
      <c r="E16" s="11" t="s">
        <v>191</v>
      </c>
      <c r="F16" s="11" t="s">
        <v>192</v>
      </c>
      <c r="G16" s="15" t="s">
        <v>154</v>
      </c>
      <c r="H16" s="15" t="s">
        <v>193</v>
      </c>
      <c r="I16" s="15" t="s">
        <v>194</v>
      </c>
      <c r="J16" s="15" t="s">
        <v>154</v>
      </c>
      <c r="K16" s="11" t="s">
        <v>195</v>
      </c>
      <c r="L16" s="15" t="s">
        <v>196</v>
      </c>
      <c r="M16" s="11" t="n">
        <f aca="false">COUNTIF(Taches!$B$6:$B$250,$A16)</f>
        <v>2</v>
      </c>
      <c r="N16" s="11" t="n">
        <v>1</v>
      </c>
      <c r="O16" s="20" t="s">
        <v>76</v>
      </c>
      <c r="P16" s="21" t="s">
        <v>197</v>
      </c>
      <c r="Q16" s="21" t="s">
        <v>154</v>
      </c>
      <c r="R16" s="21" t="s">
        <v>198</v>
      </c>
    </row>
    <row r="17" customFormat="false" ht="23.85" hidden="false" customHeight="false" outlineLevel="0" collapsed="false">
      <c r="A17" s="22" t="s">
        <v>199</v>
      </c>
      <c r="B17" s="10" t="s">
        <v>43</v>
      </c>
      <c r="C17" s="15" t="s">
        <v>94</v>
      </c>
      <c r="D17" s="10" t="s">
        <v>200</v>
      </c>
      <c r="E17" s="11" t="s">
        <v>154</v>
      </c>
      <c r="F17" s="11" t="s">
        <v>192</v>
      </c>
      <c r="G17" s="15" t="s">
        <v>154</v>
      </c>
      <c r="H17" s="15" t="s">
        <v>201</v>
      </c>
      <c r="I17" s="15" t="s">
        <v>202</v>
      </c>
      <c r="J17" s="15" t="s">
        <v>203</v>
      </c>
      <c r="K17" s="11" t="s">
        <v>204</v>
      </c>
      <c r="L17" s="15" t="s">
        <v>205</v>
      </c>
      <c r="M17" s="11" t="n">
        <f aca="false">COUNTIF(Taches!$B$6:$B$250,$A17)</f>
        <v>1</v>
      </c>
      <c r="N17" s="11" t="n">
        <v>2</v>
      </c>
      <c r="O17" s="20" t="s">
        <v>75</v>
      </c>
      <c r="P17" s="21" t="s">
        <v>153</v>
      </c>
      <c r="Q17" s="21" t="s">
        <v>154</v>
      </c>
      <c r="R17" s="21" t="s">
        <v>206</v>
      </c>
    </row>
    <row r="18" customFormat="false" ht="23.85" hidden="false" customHeight="false" outlineLevel="0" collapsed="false">
      <c r="A18" s="22" t="s">
        <v>207</v>
      </c>
      <c r="B18" s="10" t="s">
        <v>43</v>
      </c>
      <c r="C18" s="15" t="s">
        <v>94</v>
      </c>
      <c r="D18" s="10" t="s">
        <v>208</v>
      </c>
      <c r="E18" s="11" t="s">
        <v>209</v>
      </c>
      <c r="F18" s="11" t="s">
        <v>192</v>
      </c>
      <c r="G18" s="15" t="s">
        <v>154</v>
      </c>
      <c r="H18" s="15" t="s">
        <v>210</v>
      </c>
      <c r="I18" s="15" t="s">
        <v>211</v>
      </c>
      <c r="J18" s="15" t="s">
        <v>154</v>
      </c>
      <c r="K18" s="11" t="s">
        <v>154</v>
      </c>
      <c r="L18" s="15" t="s">
        <v>212</v>
      </c>
      <c r="M18" s="11" t="n">
        <f aca="false">COUNTIF(Taches!$B$6:$B$250,$A18)</f>
        <v>1</v>
      </c>
      <c r="N18" s="11" t="n">
        <v>2</v>
      </c>
      <c r="O18" s="20" t="s">
        <v>104</v>
      </c>
      <c r="P18" s="21" t="s">
        <v>213</v>
      </c>
      <c r="Q18" s="21" t="s">
        <v>214</v>
      </c>
      <c r="R18" s="21" t="s">
        <v>215</v>
      </c>
    </row>
    <row r="19" customFormat="false" ht="23.85" hidden="false" customHeight="false" outlineLevel="0" collapsed="false">
      <c r="A19" s="22" t="s">
        <v>216</v>
      </c>
      <c r="B19" s="10" t="s">
        <v>43</v>
      </c>
      <c r="C19" s="15" t="s">
        <v>94</v>
      </c>
      <c r="D19" s="10" t="s">
        <v>217</v>
      </c>
      <c r="E19" s="11" t="s">
        <v>96</v>
      </c>
      <c r="F19" s="11" t="s">
        <v>192</v>
      </c>
      <c r="G19" s="15" t="s">
        <v>154</v>
      </c>
      <c r="H19" s="15" t="s">
        <v>218</v>
      </c>
      <c r="I19" s="15" t="s">
        <v>194</v>
      </c>
      <c r="J19" s="15" t="s">
        <v>154</v>
      </c>
      <c r="K19" s="11" t="s">
        <v>195</v>
      </c>
      <c r="L19" s="15" t="s">
        <v>219</v>
      </c>
      <c r="M19" s="11" t="n">
        <f aca="false">COUNTIF(Taches!$B$6:$B$250,$A19)</f>
        <v>1</v>
      </c>
      <c r="N19" s="11" t="n">
        <v>3</v>
      </c>
      <c r="O19" s="20" t="s">
        <v>104</v>
      </c>
      <c r="P19" s="21" t="s">
        <v>220</v>
      </c>
      <c r="Q19" s="21" t="s">
        <v>221</v>
      </c>
      <c r="R19" s="21" t="s">
        <v>154</v>
      </c>
    </row>
    <row r="20" customFormat="false" ht="23.85" hidden="false" customHeight="false" outlineLevel="0" collapsed="false">
      <c r="A20" s="22" t="s">
        <v>222</v>
      </c>
      <c r="B20" s="10" t="s">
        <v>43</v>
      </c>
      <c r="C20" s="15" t="s">
        <v>94</v>
      </c>
      <c r="D20" s="10" t="s">
        <v>223</v>
      </c>
      <c r="E20" s="11" t="s">
        <v>224</v>
      </c>
      <c r="F20" s="11" t="s">
        <v>225</v>
      </c>
      <c r="G20" s="15" t="s">
        <v>226</v>
      </c>
      <c r="H20" s="15" t="s">
        <v>227</v>
      </c>
      <c r="I20" s="15" t="s">
        <v>202</v>
      </c>
      <c r="J20" s="15" t="s">
        <v>228</v>
      </c>
      <c r="K20" s="11" t="s">
        <v>229</v>
      </c>
      <c r="L20" s="15" t="s">
        <v>230</v>
      </c>
      <c r="M20" s="11" t="n">
        <f aca="false">COUNTIF(Taches!$B$6:$B$250,$A20)</f>
        <v>1</v>
      </c>
      <c r="N20" s="11" t="n">
        <v>2</v>
      </c>
      <c r="O20" s="20" t="s">
        <v>104</v>
      </c>
      <c r="P20" s="21" t="s">
        <v>231</v>
      </c>
      <c r="Q20" s="21" t="s">
        <v>232</v>
      </c>
      <c r="R20" s="21" t="s">
        <v>154</v>
      </c>
    </row>
    <row r="21" customFormat="false" ht="23.85" hidden="false" customHeight="false" outlineLevel="0" collapsed="false">
      <c r="A21" s="22" t="s">
        <v>233</v>
      </c>
      <c r="B21" s="10" t="s">
        <v>43</v>
      </c>
      <c r="C21" s="15" t="s">
        <v>94</v>
      </c>
      <c r="D21" s="10" t="s">
        <v>234</v>
      </c>
      <c r="E21" s="11" t="s">
        <v>154</v>
      </c>
      <c r="F21" s="11" t="s">
        <v>235</v>
      </c>
      <c r="G21" s="15" t="s">
        <v>236</v>
      </c>
      <c r="H21" s="15" t="s">
        <v>237</v>
      </c>
      <c r="I21" s="15" t="s">
        <v>238</v>
      </c>
      <c r="J21" s="15" t="s">
        <v>239</v>
      </c>
      <c r="K21" s="11" t="s">
        <v>240</v>
      </c>
      <c r="L21" s="15" t="s">
        <v>241</v>
      </c>
      <c r="M21" s="11" t="n">
        <f aca="false">COUNTIF(Taches!$B$6:$B$250,$A21)</f>
        <v>1</v>
      </c>
      <c r="N21" s="11" t="n">
        <v>2</v>
      </c>
      <c r="O21" s="20" t="s">
        <v>104</v>
      </c>
      <c r="P21" s="21" t="s">
        <v>242</v>
      </c>
      <c r="Q21" s="21" t="s">
        <v>243</v>
      </c>
      <c r="R21" s="21" t="s">
        <v>244</v>
      </c>
    </row>
    <row r="22" customFormat="false" ht="23.85" hidden="false" customHeight="false" outlineLevel="0" collapsed="false">
      <c r="A22" s="22" t="s">
        <v>245</v>
      </c>
      <c r="B22" s="10" t="s">
        <v>43</v>
      </c>
      <c r="C22" s="15" t="s">
        <v>94</v>
      </c>
      <c r="D22" s="10" t="s">
        <v>246</v>
      </c>
      <c r="E22" s="11" t="s">
        <v>247</v>
      </c>
      <c r="F22" s="11" t="s">
        <v>192</v>
      </c>
      <c r="G22" s="15" t="s">
        <v>154</v>
      </c>
      <c r="H22" s="15" t="s">
        <v>248</v>
      </c>
      <c r="I22" s="15" t="s">
        <v>194</v>
      </c>
      <c r="J22" s="15" t="s">
        <v>154</v>
      </c>
      <c r="K22" s="11" t="s">
        <v>195</v>
      </c>
      <c r="L22" s="15" t="s">
        <v>249</v>
      </c>
      <c r="M22" s="11" t="n">
        <f aca="false">COUNTIF(Taches!$B$6:$B$250,$A22)</f>
        <v>1</v>
      </c>
      <c r="N22" s="11" t="n">
        <v>3</v>
      </c>
      <c r="O22" s="20" t="s">
        <v>104</v>
      </c>
      <c r="P22" s="21" t="s">
        <v>250</v>
      </c>
      <c r="Q22" s="21" t="s">
        <v>251</v>
      </c>
      <c r="R22" s="21" t="s">
        <v>252</v>
      </c>
    </row>
    <row r="23" customFormat="false" ht="23.85" hidden="false" customHeight="false" outlineLevel="0" collapsed="false">
      <c r="A23" s="22" t="s">
        <v>253</v>
      </c>
      <c r="B23" s="10" t="s">
        <v>43</v>
      </c>
      <c r="C23" s="15" t="s">
        <v>254</v>
      </c>
      <c r="D23" s="10" t="s">
        <v>255</v>
      </c>
      <c r="E23" s="11" t="s">
        <v>247</v>
      </c>
      <c r="F23" s="11" t="s">
        <v>192</v>
      </c>
      <c r="G23" s="15" t="s">
        <v>154</v>
      </c>
      <c r="H23" s="15" t="s">
        <v>256</v>
      </c>
      <c r="I23" s="15" t="s">
        <v>211</v>
      </c>
      <c r="J23" s="15" t="s">
        <v>257</v>
      </c>
      <c r="K23" s="11" t="s">
        <v>171</v>
      </c>
      <c r="L23" s="15" t="s">
        <v>258</v>
      </c>
      <c r="M23" s="11" t="n">
        <f aca="false">COUNTIF(Taches!$B$6:$B$250,$A23)</f>
        <v>3</v>
      </c>
      <c r="N23" s="11" t="n">
        <v>1</v>
      </c>
      <c r="O23" s="20" t="s">
        <v>104</v>
      </c>
      <c r="P23" s="21" t="s">
        <v>259</v>
      </c>
      <c r="Q23" s="21" t="s">
        <v>260</v>
      </c>
      <c r="R23" s="21" t="s">
        <v>154</v>
      </c>
    </row>
    <row r="24" customFormat="false" ht="35.05" hidden="false" customHeight="false" outlineLevel="0" collapsed="false">
      <c r="A24" s="22" t="s">
        <v>261</v>
      </c>
      <c r="B24" s="10" t="s">
        <v>43</v>
      </c>
      <c r="C24" s="15" t="s">
        <v>254</v>
      </c>
      <c r="D24" s="10" t="s">
        <v>262</v>
      </c>
      <c r="E24" s="11" t="s">
        <v>96</v>
      </c>
      <c r="F24" s="11" t="s">
        <v>179</v>
      </c>
      <c r="G24" s="15" t="s">
        <v>185</v>
      </c>
      <c r="H24" s="15" t="s">
        <v>170</v>
      </c>
      <c r="I24" s="15" t="s">
        <v>112</v>
      </c>
      <c r="J24" s="15" t="s">
        <v>113</v>
      </c>
      <c r="K24" s="11" t="s">
        <v>171</v>
      </c>
      <c r="L24" s="15" t="s">
        <v>263</v>
      </c>
      <c r="M24" s="11" t="n">
        <f aca="false">COUNTIF(Taches!$B$6:$B$250,$A24)</f>
        <v>2</v>
      </c>
      <c r="N24" s="11" t="n">
        <v>1</v>
      </c>
      <c r="O24" s="20" t="s">
        <v>104</v>
      </c>
      <c r="P24" s="21" t="s">
        <v>264</v>
      </c>
      <c r="Q24" s="21" t="s">
        <v>174</v>
      </c>
      <c r="R24" s="21" t="s">
        <v>175</v>
      </c>
    </row>
    <row r="25" customFormat="false" ht="35.05" hidden="false" customHeight="false" outlineLevel="0" collapsed="false">
      <c r="A25" s="17" t="s">
        <v>265</v>
      </c>
      <c r="B25" s="18" t="s">
        <v>43</v>
      </c>
      <c r="C25" s="19" t="s">
        <v>254</v>
      </c>
      <c r="D25" s="18" t="s">
        <v>266</v>
      </c>
      <c r="E25" s="16" t="s">
        <v>247</v>
      </c>
      <c r="F25" s="17" t="s">
        <v>97</v>
      </c>
      <c r="G25" s="19" t="s">
        <v>267</v>
      </c>
      <c r="H25" s="19" t="s">
        <v>99</v>
      </c>
      <c r="I25" s="19" t="s">
        <v>112</v>
      </c>
      <c r="J25" s="19" t="s">
        <v>113</v>
      </c>
      <c r="K25" s="16" t="s">
        <v>268</v>
      </c>
      <c r="L25" s="19" t="s">
        <v>269</v>
      </c>
      <c r="M25" s="16" t="n">
        <f aca="false">COUNTIF(Taches!$B$6:$B$250,$A25)</f>
        <v>1</v>
      </c>
      <c r="N25" s="16" t="n">
        <v>1</v>
      </c>
      <c r="O25" s="20" t="s">
        <v>104</v>
      </c>
      <c r="P25" s="21" t="s">
        <v>270</v>
      </c>
      <c r="Q25" s="21" t="s">
        <v>271</v>
      </c>
      <c r="R25" s="21" t="s">
        <v>107</v>
      </c>
    </row>
    <row r="26" customFormat="false" ht="23.85" hidden="false" customHeight="false" outlineLevel="0" collapsed="false">
      <c r="A26" s="22" t="s">
        <v>272</v>
      </c>
      <c r="B26" s="10" t="s">
        <v>43</v>
      </c>
      <c r="C26" s="15" t="s">
        <v>254</v>
      </c>
      <c r="D26" s="10" t="s">
        <v>273</v>
      </c>
      <c r="E26" s="11" t="s">
        <v>110</v>
      </c>
      <c r="F26" s="11" t="s">
        <v>192</v>
      </c>
      <c r="G26" s="15" t="s">
        <v>154</v>
      </c>
      <c r="H26" s="15" t="s">
        <v>274</v>
      </c>
      <c r="I26" s="15" t="s">
        <v>202</v>
      </c>
      <c r="J26" s="15" t="s">
        <v>275</v>
      </c>
      <c r="K26" s="11" t="s">
        <v>171</v>
      </c>
      <c r="L26" s="15" t="s">
        <v>276</v>
      </c>
      <c r="M26" s="11" t="n">
        <f aca="false">COUNTIF(Taches!$B$6:$B$250,$A26)</f>
        <v>1</v>
      </c>
      <c r="N26" s="11" t="n">
        <v>2</v>
      </c>
      <c r="O26" s="20" t="s">
        <v>104</v>
      </c>
      <c r="P26" s="21" t="s">
        <v>277</v>
      </c>
      <c r="Q26" s="21" t="s">
        <v>278</v>
      </c>
      <c r="R26" s="21" t="s">
        <v>279</v>
      </c>
    </row>
    <row r="27" customFormat="false" ht="23.85" hidden="false" customHeight="false" outlineLevel="0" collapsed="false">
      <c r="A27" s="22" t="s">
        <v>280</v>
      </c>
      <c r="B27" s="10" t="s">
        <v>43</v>
      </c>
      <c r="C27" s="15" t="s">
        <v>254</v>
      </c>
      <c r="D27" s="10" t="s">
        <v>281</v>
      </c>
      <c r="E27" s="11" t="s">
        <v>282</v>
      </c>
      <c r="F27" s="11" t="s">
        <v>192</v>
      </c>
      <c r="G27" s="15" t="s">
        <v>154</v>
      </c>
      <c r="H27" s="15" t="s">
        <v>283</v>
      </c>
      <c r="I27" s="15" t="s">
        <v>194</v>
      </c>
      <c r="J27" s="15" t="s">
        <v>154</v>
      </c>
      <c r="K27" s="11" t="s">
        <v>284</v>
      </c>
      <c r="L27" s="15" t="s">
        <v>285</v>
      </c>
      <c r="M27" s="11" t="n">
        <f aca="false">COUNTIF(Taches!$B$6:$B$250,$A27)</f>
        <v>1</v>
      </c>
      <c r="N27" s="11" t="n">
        <v>3</v>
      </c>
      <c r="O27" s="20" t="s">
        <v>104</v>
      </c>
      <c r="P27" s="21" t="s">
        <v>286</v>
      </c>
      <c r="Q27" s="21" t="s">
        <v>287</v>
      </c>
      <c r="R27" s="21" t="s">
        <v>288</v>
      </c>
    </row>
    <row r="28" customFormat="false" ht="23.85" hidden="false" customHeight="false" outlineLevel="0" collapsed="false">
      <c r="A28" s="22" t="s">
        <v>289</v>
      </c>
      <c r="B28" s="10" t="s">
        <v>47</v>
      </c>
      <c r="C28" s="15" t="s">
        <v>254</v>
      </c>
      <c r="D28" s="10" t="s">
        <v>290</v>
      </c>
      <c r="E28" s="11" t="s">
        <v>96</v>
      </c>
      <c r="F28" s="11" t="s">
        <v>192</v>
      </c>
      <c r="G28" s="15" t="s">
        <v>154</v>
      </c>
      <c r="H28" s="15" t="s">
        <v>291</v>
      </c>
      <c r="I28" s="15" t="s">
        <v>211</v>
      </c>
      <c r="J28" s="15" t="s">
        <v>154</v>
      </c>
      <c r="K28" s="11" t="s">
        <v>102</v>
      </c>
      <c r="L28" s="15" t="s">
        <v>292</v>
      </c>
      <c r="M28" s="11" t="n">
        <f aca="false">COUNTIF(Taches!$B$6:$B$250,$A28)</f>
        <v>2</v>
      </c>
      <c r="N28" s="11" t="n">
        <v>2</v>
      </c>
      <c r="O28" s="20" t="s">
        <v>104</v>
      </c>
      <c r="P28" s="21" t="s">
        <v>293</v>
      </c>
      <c r="Q28" s="21" t="s">
        <v>294</v>
      </c>
      <c r="R28" s="21" t="s">
        <v>154</v>
      </c>
    </row>
    <row r="29" customFormat="false" ht="35.05" hidden="false" customHeight="false" outlineLevel="0" collapsed="false">
      <c r="A29" s="22" t="s">
        <v>295</v>
      </c>
      <c r="B29" s="10" t="s">
        <v>43</v>
      </c>
      <c r="C29" s="15" t="s">
        <v>296</v>
      </c>
      <c r="D29" s="10" t="s">
        <v>297</v>
      </c>
      <c r="E29" s="11" t="s">
        <v>178</v>
      </c>
      <c r="F29" s="11" t="s">
        <v>179</v>
      </c>
      <c r="G29" s="15" t="s">
        <v>169</v>
      </c>
      <c r="H29" s="15" t="s">
        <v>170</v>
      </c>
      <c r="I29" s="15" t="s">
        <v>298</v>
      </c>
      <c r="J29" s="15" t="s">
        <v>113</v>
      </c>
      <c r="K29" s="11" t="s">
        <v>131</v>
      </c>
      <c r="L29" s="15" t="s">
        <v>299</v>
      </c>
      <c r="M29" s="11" t="n">
        <f aca="false">COUNTIF(Taches!$B$6:$B$250,$A29)</f>
        <v>3</v>
      </c>
      <c r="N29" s="11" t="n">
        <v>1</v>
      </c>
      <c r="O29" s="20" t="s">
        <v>104</v>
      </c>
      <c r="P29" s="21" t="s">
        <v>182</v>
      </c>
      <c r="Q29" s="21" t="s">
        <v>174</v>
      </c>
      <c r="R29" s="21" t="s">
        <v>175</v>
      </c>
    </row>
    <row r="30" customFormat="false" ht="23.85" hidden="false" customHeight="false" outlineLevel="0" collapsed="false">
      <c r="A30" s="22" t="s">
        <v>300</v>
      </c>
      <c r="B30" s="10" t="s">
        <v>43</v>
      </c>
      <c r="C30" s="15" t="s">
        <v>296</v>
      </c>
      <c r="D30" s="10" t="s">
        <v>301</v>
      </c>
      <c r="E30" s="11" t="s">
        <v>302</v>
      </c>
      <c r="F30" s="11" t="s">
        <v>192</v>
      </c>
      <c r="G30" s="15" t="s">
        <v>154</v>
      </c>
      <c r="H30" s="15" t="s">
        <v>303</v>
      </c>
      <c r="I30" s="15" t="s">
        <v>194</v>
      </c>
      <c r="J30" s="15" t="s">
        <v>154</v>
      </c>
      <c r="K30" s="11" t="s">
        <v>195</v>
      </c>
      <c r="L30" s="15" t="s">
        <v>304</v>
      </c>
      <c r="M30" s="11" t="n">
        <f aca="false">COUNTIF(Taches!$B$6:$B$250,$A30)</f>
        <v>1</v>
      </c>
      <c r="N30" s="11" t="n">
        <v>3</v>
      </c>
      <c r="O30" s="20" t="s">
        <v>104</v>
      </c>
      <c r="P30" s="21" t="s">
        <v>305</v>
      </c>
      <c r="Q30" s="21" t="s">
        <v>306</v>
      </c>
      <c r="R30" s="21" t="s">
        <v>154</v>
      </c>
    </row>
    <row r="31" customFormat="false" ht="35.05" hidden="false" customHeight="false" outlineLevel="0" collapsed="false">
      <c r="A31" s="17" t="s">
        <v>307</v>
      </c>
      <c r="B31" s="18" t="s">
        <v>43</v>
      </c>
      <c r="C31" s="19" t="s">
        <v>296</v>
      </c>
      <c r="D31" s="18" t="s">
        <v>308</v>
      </c>
      <c r="E31" s="16" t="s">
        <v>154</v>
      </c>
      <c r="F31" s="17" t="s">
        <v>97</v>
      </c>
      <c r="G31" s="19" t="s">
        <v>309</v>
      </c>
      <c r="H31" s="19" t="s">
        <v>310</v>
      </c>
      <c r="I31" s="19" t="s">
        <v>311</v>
      </c>
      <c r="J31" s="19" t="s">
        <v>312</v>
      </c>
      <c r="K31" s="16" t="s">
        <v>313</v>
      </c>
      <c r="L31" s="19" t="s">
        <v>314</v>
      </c>
      <c r="M31" s="16" t="n">
        <f aca="false">COUNTIF(Taches!$B$6:$B$250,$A31)</f>
        <v>1</v>
      </c>
      <c r="N31" s="16" t="n">
        <v>2</v>
      </c>
      <c r="O31" s="20" t="s">
        <v>104</v>
      </c>
      <c r="P31" s="21" t="s">
        <v>315</v>
      </c>
      <c r="Q31" s="21" t="s">
        <v>316</v>
      </c>
      <c r="R31" s="21" t="s">
        <v>175</v>
      </c>
    </row>
    <row r="32" customFormat="false" ht="23.85" hidden="false" customHeight="false" outlineLevel="0" collapsed="false">
      <c r="A32" s="22" t="s">
        <v>317</v>
      </c>
      <c r="B32" s="10" t="s">
        <v>43</v>
      </c>
      <c r="C32" s="15" t="s">
        <v>318</v>
      </c>
      <c r="D32" s="10" t="s">
        <v>319</v>
      </c>
      <c r="E32" s="11" t="s">
        <v>110</v>
      </c>
      <c r="F32" s="11" t="s">
        <v>320</v>
      </c>
      <c r="G32" s="15" t="s">
        <v>154</v>
      </c>
      <c r="H32" s="15" t="s">
        <v>321</v>
      </c>
      <c r="I32" s="15" t="s">
        <v>194</v>
      </c>
      <c r="J32" s="15" t="s">
        <v>154</v>
      </c>
      <c r="K32" s="11" t="s">
        <v>322</v>
      </c>
      <c r="L32" s="15" t="s">
        <v>323</v>
      </c>
      <c r="M32" s="11" t="n">
        <f aca="false">COUNTIF(Taches!$B$6:$B$250,$A32)</f>
        <v>2</v>
      </c>
      <c r="N32" s="11" t="n">
        <v>1</v>
      </c>
      <c r="O32" s="20" t="s">
        <v>104</v>
      </c>
      <c r="P32" s="21" t="s">
        <v>324</v>
      </c>
      <c r="Q32" s="21" t="s">
        <v>325</v>
      </c>
      <c r="R32" s="21" t="s">
        <v>326</v>
      </c>
    </row>
    <row r="33" customFormat="false" ht="23.85" hidden="false" customHeight="false" outlineLevel="0" collapsed="false">
      <c r="A33" s="22" t="s">
        <v>327</v>
      </c>
      <c r="B33" s="10" t="s">
        <v>43</v>
      </c>
      <c r="C33" s="15" t="s">
        <v>318</v>
      </c>
      <c r="D33" s="10" t="s">
        <v>328</v>
      </c>
      <c r="E33" s="11" t="s">
        <v>96</v>
      </c>
      <c r="F33" s="11" t="s">
        <v>320</v>
      </c>
      <c r="G33" s="15" t="s">
        <v>154</v>
      </c>
      <c r="H33" s="15" t="s">
        <v>329</v>
      </c>
      <c r="I33" s="15" t="s">
        <v>194</v>
      </c>
      <c r="J33" s="15" t="s">
        <v>154</v>
      </c>
      <c r="K33" s="11" t="s">
        <v>330</v>
      </c>
      <c r="L33" s="15" t="s">
        <v>331</v>
      </c>
      <c r="M33" s="11" t="n">
        <f aca="false">COUNTIF(Taches!$B$6:$B$250,$A33)</f>
        <v>2</v>
      </c>
      <c r="N33" s="11" t="n">
        <v>1</v>
      </c>
      <c r="O33" s="20" t="s">
        <v>104</v>
      </c>
      <c r="P33" s="21" t="s">
        <v>332</v>
      </c>
      <c r="Q33" s="21" t="s">
        <v>333</v>
      </c>
      <c r="R33" s="21" t="s">
        <v>334</v>
      </c>
    </row>
    <row r="34" customFormat="false" ht="23.85" hidden="false" customHeight="false" outlineLevel="0" collapsed="false">
      <c r="A34" s="22" t="s">
        <v>335</v>
      </c>
      <c r="B34" s="10" t="s">
        <v>41</v>
      </c>
      <c r="C34" s="15" t="s">
        <v>318</v>
      </c>
      <c r="D34" s="10" t="s">
        <v>336</v>
      </c>
      <c r="E34" s="11" t="s">
        <v>247</v>
      </c>
      <c r="F34" s="11" t="s">
        <v>192</v>
      </c>
      <c r="G34" s="15" t="s">
        <v>154</v>
      </c>
      <c r="H34" s="15" t="s">
        <v>337</v>
      </c>
      <c r="I34" s="15" t="s">
        <v>194</v>
      </c>
      <c r="J34" s="15" t="s">
        <v>154</v>
      </c>
      <c r="K34" s="11" t="s">
        <v>338</v>
      </c>
      <c r="L34" s="15" t="s">
        <v>339</v>
      </c>
      <c r="M34" s="11" t="n">
        <f aca="false">COUNTIF(Taches!$B$6:$B$250,$A34)</f>
        <v>2</v>
      </c>
      <c r="N34" s="11" t="n">
        <v>1</v>
      </c>
      <c r="O34" s="20" t="s">
        <v>104</v>
      </c>
      <c r="P34" s="21" t="s">
        <v>340</v>
      </c>
      <c r="Q34" s="21" t="s">
        <v>341</v>
      </c>
      <c r="R34" s="21" t="s">
        <v>154</v>
      </c>
    </row>
    <row r="35" customFormat="false" ht="23.85" hidden="false" customHeight="false" outlineLevel="0" collapsed="false">
      <c r="A35" s="22" t="s">
        <v>342</v>
      </c>
      <c r="B35" s="10" t="s">
        <v>43</v>
      </c>
      <c r="C35" s="15" t="s">
        <v>318</v>
      </c>
      <c r="D35" s="10" t="s">
        <v>343</v>
      </c>
      <c r="E35" s="11" t="s">
        <v>344</v>
      </c>
      <c r="F35" s="11" t="s">
        <v>192</v>
      </c>
      <c r="G35" s="15" t="s">
        <v>154</v>
      </c>
      <c r="H35" s="15" t="s">
        <v>345</v>
      </c>
      <c r="I35" s="15" t="s">
        <v>194</v>
      </c>
      <c r="J35" s="15" t="s">
        <v>154</v>
      </c>
      <c r="K35" s="11" t="s">
        <v>195</v>
      </c>
      <c r="L35" s="15" t="s">
        <v>346</v>
      </c>
      <c r="M35" s="11" t="n">
        <f aca="false">COUNTIF(Taches!$B$6:$B$250,$A35)</f>
        <v>1</v>
      </c>
      <c r="N35" s="11" t="n">
        <v>2</v>
      </c>
      <c r="O35" s="20" t="s">
        <v>76</v>
      </c>
      <c r="P35" s="21" t="s">
        <v>153</v>
      </c>
      <c r="Q35" s="21" t="s">
        <v>154</v>
      </c>
      <c r="R35" s="21" t="s">
        <v>154</v>
      </c>
    </row>
    <row r="36" customFormat="false" ht="23.85" hidden="false" customHeight="false" outlineLevel="0" collapsed="false">
      <c r="A36" s="22" t="s">
        <v>347</v>
      </c>
      <c r="B36" s="10" t="s">
        <v>43</v>
      </c>
      <c r="C36" s="15" t="s">
        <v>318</v>
      </c>
      <c r="D36" s="10" t="s">
        <v>348</v>
      </c>
      <c r="E36" s="11" t="s">
        <v>344</v>
      </c>
      <c r="F36" s="11" t="s">
        <v>192</v>
      </c>
      <c r="G36" s="15" t="s">
        <v>154</v>
      </c>
      <c r="H36" s="15" t="s">
        <v>349</v>
      </c>
      <c r="I36" s="15" t="s">
        <v>202</v>
      </c>
      <c r="J36" s="15" t="s">
        <v>154</v>
      </c>
      <c r="K36" s="11" t="s">
        <v>350</v>
      </c>
      <c r="L36" s="15" t="s">
        <v>351</v>
      </c>
      <c r="M36" s="11" t="n">
        <f aca="false">COUNTIF(Taches!$B$6:$B$250,$A36)</f>
        <v>1</v>
      </c>
      <c r="N36" s="11" t="n">
        <v>3</v>
      </c>
      <c r="O36" s="20" t="s">
        <v>75</v>
      </c>
      <c r="P36" s="21" t="s">
        <v>352</v>
      </c>
      <c r="Q36" s="21" t="s">
        <v>154</v>
      </c>
      <c r="R36" s="21" t="s">
        <v>279</v>
      </c>
    </row>
    <row r="37" customFormat="false" ht="23.85" hidden="false" customHeight="false" outlineLevel="0" collapsed="false">
      <c r="A37" s="22" t="s">
        <v>353</v>
      </c>
      <c r="B37" s="10" t="s">
        <v>41</v>
      </c>
      <c r="C37" s="15" t="s">
        <v>354</v>
      </c>
      <c r="D37" s="10" t="s">
        <v>355</v>
      </c>
      <c r="E37" s="11" t="s">
        <v>247</v>
      </c>
      <c r="F37" s="11" t="s">
        <v>192</v>
      </c>
      <c r="G37" s="15" t="s">
        <v>154</v>
      </c>
      <c r="H37" s="15" t="s">
        <v>356</v>
      </c>
      <c r="I37" s="15" t="s">
        <v>194</v>
      </c>
      <c r="J37" s="15" t="s">
        <v>154</v>
      </c>
      <c r="K37" s="11" t="s">
        <v>195</v>
      </c>
      <c r="L37" s="15" t="s">
        <v>357</v>
      </c>
      <c r="M37" s="11" t="n">
        <f aca="false">COUNTIF(Taches!$B$6:$B$250,$A37)</f>
        <v>3</v>
      </c>
      <c r="N37" s="11" t="n">
        <v>1</v>
      </c>
      <c r="O37" s="20" t="s">
        <v>104</v>
      </c>
      <c r="P37" s="21" t="s">
        <v>358</v>
      </c>
      <c r="Q37" s="21" t="s">
        <v>359</v>
      </c>
      <c r="R37" s="21" t="s">
        <v>360</v>
      </c>
    </row>
    <row r="38" customFormat="false" ht="23.85" hidden="false" customHeight="false" outlineLevel="0" collapsed="false">
      <c r="A38" s="22" t="s">
        <v>361</v>
      </c>
      <c r="B38" s="10" t="s">
        <v>41</v>
      </c>
      <c r="C38" s="15" t="s">
        <v>354</v>
      </c>
      <c r="D38" s="10" t="s">
        <v>362</v>
      </c>
      <c r="E38" s="11" t="s">
        <v>363</v>
      </c>
      <c r="F38" s="11" t="s">
        <v>192</v>
      </c>
      <c r="G38" s="15" t="s">
        <v>154</v>
      </c>
      <c r="H38" s="15" t="s">
        <v>364</v>
      </c>
      <c r="I38" s="15" t="s">
        <v>194</v>
      </c>
      <c r="J38" s="15" t="s">
        <v>154</v>
      </c>
      <c r="K38" s="11" t="s">
        <v>195</v>
      </c>
      <c r="L38" s="15" t="s">
        <v>365</v>
      </c>
      <c r="M38" s="11" t="n">
        <f aca="false">COUNTIF(Taches!$B$6:$B$250,$A38)</f>
        <v>1</v>
      </c>
      <c r="N38" s="11" t="n">
        <v>1</v>
      </c>
      <c r="O38" s="20" t="s">
        <v>104</v>
      </c>
      <c r="P38" s="21" t="s">
        <v>366</v>
      </c>
      <c r="Q38" s="21" t="s">
        <v>367</v>
      </c>
      <c r="R38" s="21" t="s">
        <v>154</v>
      </c>
    </row>
    <row r="39" customFormat="false" ht="23.85" hidden="false" customHeight="false" outlineLevel="0" collapsed="false">
      <c r="A39" s="22" t="s">
        <v>368</v>
      </c>
      <c r="B39" s="10" t="s">
        <v>41</v>
      </c>
      <c r="C39" s="15" t="s">
        <v>354</v>
      </c>
      <c r="D39" s="10" t="s">
        <v>369</v>
      </c>
      <c r="E39" s="11" t="s">
        <v>370</v>
      </c>
      <c r="F39" s="11" t="s">
        <v>192</v>
      </c>
      <c r="G39" s="15" t="s">
        <v>154</v>
      </c>
      <c r="H39" s="15" t="s">
        <v>371</v>
      </c>
      <c r="I39" s="15" t="s">
        <v>194</v>
      </c>
      <c r="J39" s="15" t="s">
        <v>154</v>
      </c>
      <c r="K39" s="11" t="s">
        <v>372</v>
      </c>
      <c r="L39" s="15" t="s">
        <v>373</v>
      </c>
      <c r="M39" s="11" t="n">
        <f aca="false">COUNTIF(Taches!$B$6:$B$250,$A39)</f>
        <v>1</v>
      </c>
      <c r="N39" s="11" t="n">
        <v>2</v>
      </c>
      <c r="O39" s="20" t="s">
        <v>104</v>
      </c>
      <c r="P39" s="21" t="s">
        <v>374</v>
      </c>
      <c r="Q39" s="21" t="s">
        <v>375</v>
      </c>
      <c r="R39" s="21" t="s">
        <v>154</v>
      </c>
    </row>
    <row r="40" customFormat="false" ht="23.85" hidden="false" customHeight="false" outlineLevel="0" collapsed="false">
      <c r="A40" s="22" t="s">
        <v>376</v>
      </c>
      <c r="B40" s="10" t="s">
        <v>41</v>
      </c>
      <c r="C40" s="15" t="s">
        <v>354</v>
      </c>
      <c r="D40" s="10" t="s">
        <v>377</v>
      </c>
      <c r="E40" s="11" t="s">
        <v>247</v>
      </c>
      <c r="F40" s="11" t="s">
        <v>192</v>
      </c>
      <c r="G40" s="15" t="s">
        <v>154</v>
      </c>
      <c r="H40" s="15" t="s">
        <v>378</v>
      </c>
      <c r="I40" s="15" t="s">
        <v>194</v>
      </c>
      <c r="J40" s="15" t="s">
        <v>154</v>
      </c>
      <c r="K40" s="11" t="s">
        <v>379</v>
      </c>
      <c r="L40" s="15" t="s">
        <v>380</v>
      </c>
      <c r="M40" s="11" t="n">
        <f aca="false">COUNTIF(Taches!$B$6:$B$250,$A40)</f>
        <v>1</v>
      </c>
      <c r="N40" s="11" t="n">
        <v>3</v>
      </c>
      <c r="O40" s="20" t="s">
        <v>104</v>
      </c>
      <c r="P40" s="21" t="s">
        <v>381</v>
      </c>
      <c r="Q40" s="21" t="s">
        <v>382</v>
      </c>
      <c r="R40" s="21" t="s">
        <v>154</v>
      </c>
    </row>
    <row r="41" customFormat="false" ht="35.05" hidden="false" customHeight="false" outlineLevel="0" collapsed="false">
      <c r="A41" s="22" t="s">
        <v>383</v>
      </c>
      <c r="B41" s="10" t="s">
        <v>42</v>
      </c>
      <c r="C41" s="15" t="s">
        <v>384</v>
      </c>
      <c r="D41" s="10" t="s">
        <v>385</v>
      </c>
      <c r="E41" s="11" t="s">
        <v>370</v>
      </c>
      <c r="F41" s="11" t="s">
        <v>192</v>
      </c>
      <c r="G41" s="15" t="s">
        <v>154</v>
      </c>
      <c r="H41" s="15" t="s">
        <v>386</v>
      </c>
      <c r="I41" s="15" t="s">
        <v>194</v>
      </c>
      <c r="J41" s="15" t="s">
        <v>154</v>
      </c>
      <c r="K41" s="11" t="s">
        <v>387</v>
      </c>
      <c r="L41" s="15" t="s">
        <v>388</v>
      </c>
      <c r="M41" s="11" t="n">
        <f aca="false">COUNTIF(Taches!$B$6:$B$250,$A41)</f>
        <v>4</v>
      </c>
      <c r="N41" s="11" t="n">
        <v>1</v>
      </c>
      <c r="O41" s="20" t="s">
        <v>104</v>
      </c>
      <c r="P41" s="21" t="s">
        <v>389</v>
      </c>
      <c r="Q41" s="21" t="s">
        <v>390</v>
      </c>
      <c r="R41" s="21" t="s">
        <v>391</v>
      </c>
    </row>
    <row r="42" customFormat="false" ht="23.85" hidden="false" customHeight="false" outlineLevel="0" collapsed="false">
      <c r="A42" s="22" t="s">
        <v>392</v>
      </c>
      <c r="B42" s="10" t="s">
        <v>42</v>
      </c>
      <c r="C42" s="15" t="s">
        <v>384</v>
      </c>
      <c r="D42" s="10" t="s">
        <v>393</v>
      </c>
      <c r="E42" s="11" t="s">
        <v>370</v>
      </c>
      <c r="F42" s="11" t="s">
        <v>192</v>
      </c>
      <c r="G42" s="15" t="s">
        <v>154</v>
      </c>
      <c r="H42" s="15" t="s">
        <v>394</v>
      </c>
      <c r="I42" s="15" t="s">
        <v>194</v>
      </c>
      <c r="J42" s="15" t="s">
        <v>154</v>
      </c>
      <c r="K42" s="11" t="s">
        <v>195</v>
      </c>
      <c r="L42" s="15" t="s">
        <v>395</v>
      </c>
      <c r="M42" s="11" t="n">
        <f aca="false">COUNTIF(Taches!$B$6:$B$250,$A42)</f>
        <v>3</v>
      </c>
      <c r="N42" s="11" t="n">
        <v>1</v>
      </c>
      <c r="O42" s="20" t="s">
        <v>104</v>
      </c>
      <c r="P42" s="21" t="s">
        <v>396</v>
      </c>
      <c r="Q42" s="21" t="s">
        <v>397</v>
      </c>
      <c r="R42" s="21" t="s">
        <v>154</v>
      </c>
    </row>
    <row r="43" customFormat="false" ht="35.05" hidden="false" customHeight="false" outlineLevel="0" collapsed="false">
      <c r="A43" s="22" t="s">
        <v>398</v>
      </c>
      <c r="B43" s="10" t="s">
        <v>41</v>
      </c>
      <c r="C43" s="15" t="s">
        <v>384</v>
      </c>
      <c r="D43" s="10" t="s">
        <v>399</v>
      </c>
      <c r="E43" s="11" t="s">
        <v>370</v>
      </c>
      <c r="F43" s="11" t="s">
        <v>192</v>
      </c>
      <c r="G43" s="15" t="s">
        <v>154</v>
      </c>
      <c r="H43" s="15" t="s">
        <v>400</v>
      </c>
      <c r="I43" s="15" t="s">
        <v>194</v>
      </c>
      <c r="J43" s="15" t="s">
        <v>154</v>
      </c>
      <c r="K43" s="11" t="s">
        <v>401</v>
      </c>
      <c r="L43" s="15" t="s">
        <v>402</v>
      </c>
      <c r="M43" s="11" t="n">
        <f aca="false">COUNTIF(Taches!$B$6:$B$250,$A43)</f>
        <v>4</v>
      </c>
      <c r="N43" s="11" t="n">
        <v>1</v>
      </c>
      <c r="O43" s="20" t="s">
        <v>104</v>
      </c>
      <c r="P43" s="21" t="s">
        <v>403</v>
      </c>
      <c r="Q43" s="21" t="s">
        <v>404</v>
      </c>
      <c r="R43" s="21" t="s">
        <v>154</v>
      </c>
    </row>
    <row r="44" customFormat="false" ht="23.85" hidden="false" customHeight="false" outlineLevel="0" collapsed="false">
      <c r="A44" s="22" t="s">
        <v>405</v>
      </c>
      <c r="B44" s="10" t="s">
        <v>42</v>
      </c>
      <c r="C44" s="15" t="s">
        <v>384</v>
      </c>
      <c r="D44" s="10" t="s">
        <v>406</v>
      </c>
      <c r="E44" s="11" t="s">
        <v>302</v>
      </c>
      <c r="F44" s="11" t="s">
        <v>192</v>
      </c>
      <c r="G44" s="15" t="s">
        <v>154</v>
      </c>
      <c r="H44" s="15" t="s">
        <v>407</v>
      </c>
      <c r="I44" s="15" t="s">
        <v>194</v>
      </c>
      <c r="J44" s="15" t="s">
        <v>154</v>
      </c>
      <c r="K44" s="11" t="s">
        <v>195</v>
      </c>
      <c r="L44" s="15" t="s">
        <v>408</v>
      </c>
      <c r="M44" s="11" t="n">
        <f aca="false">COUNTIF(Taches!$B$6:$B$250,$A44)</f>
        <v>1</v>
      </c>
      <c r="N44" s="11" t="n">
        <v>2</v>
      </c>
      <c r="O44" s="20" t="s">
        <v>104</v>
      </c>
      <c r="P44" s="21" t="s">
        <v>409</v>
      </c>
      <c r="Q44" s="21" t="s">
        <v>382</v>
      </c>
      <c r="R44" s="21" t="s">
        <v>154</v>
      </c>
    </row>
    <row r="45" customFormat="false" ht="23.85" hidden="false" customHeight="false" outlineLevel="0" collapsed="false">
      <c r="A45" s="22" t="s">
        <v>410</v>
      </c>
      <c r="B45" s="10" t="s">
        <v>41</v>
      </c>
      <c r="C45" s="15" t="s">
        <v>411</v>
      </c>
      <c r="D45" s="10" t="s">
        <v>412</v>
      </c>
      <c r="E45" s="11" t="s">
        <v>178</v>
      </c>
      <c r="F45" s="11" t="s">
        <v>192</v>
      </c>
      <c r="G45" s="15" t="s">
        <v>154</v>
      </c>
      <c r="H45" s="15" t="s">
        <v>413</v>
      </c>
      <c r="I45" s="15" t="s">
        <v>194</v>
      </c>
      <c r="J45" s="15" t="s">
        <v>154</v>
      </c>
      <c r="K45" s="11" t="s">
        <v>195</v>
      </c>
      <c r="L45" s="15" t="s">
        <v>414</v>
      </c>
      <c r="M45" s="11" t="n">
        <f aca="false">COUNTIF(Taches!$B$6:$B$250,$A45)</f>
        <v>2</v>
      </c>
      <c r="N45" s="11" t="n">
        <v>2</v>
      </c>
      <c r="O45" s="20" t="s">
        <v>104</v>
      </c>
      <c r="P45" s="21" t="s">
        <v>415</v>
      </c>
      <c r="Q45" s="21" t="s">
        <v>416</v>
      </c>
      <c r="R45" s="21" t="s">
        <v>154</v>
      </c>
    </row>
    <row r="46" customFormat="false" ht="23.85" hidden="false" customHeight="false" outlineLevel="0" collapsed="false">
      <c r="A46" s="22" t="s">
        <v>417</v>
      </c>
      <c r="B46" s="10" t="s">
        <v>41</v>
      </c>
      <c r="C46" s="15" t="s">
        <v>411</v>
      </c>
      <c r="D46" s="10" t="s">
        <v>418</v>
      </c>
      <c r="E46" s="11" t="s">
        <v>247</v>
      </c>
      <c r="F46" s="11" t="s">
        <v>192</v>
      </c>
      <c r="G46" s="15" t="s">
        <v>154</v>
      </c>
      <c r="H46" s="15" t="s">
        <v>419</v>
      </c>
      <c r="I46" s="15" t="s">
        <v>194</v>
      </c>
      <c r="J46" s="15" t="s">
        <v>154</v>
      </c>
      <c r="K46" s="11" t="s">
        <v>195</v>
      </c>
      <c r="L46" s="15" t="s">
        <v>420</v>
      </c>
      <c r="M46" s="11" t="n">
        <f aca="false">COUNTIF(Taches!$B$6:$B$250,$A46)</f>
        <v>1</v>
      </c>
      <c r="N46" s="11" t="n">
        <v>3</v>
      </c>
      <c r="O46" s="20" t="s">
        <v>104</v>
      </c>
      <c r="P46" s="21" t="s">
        <v>421</v>
      </c>
      <c r="Q46" s="21" t="s">
        <v>416</v>
      </c>
      <c r="R46" s="21" t="s">
        <v>422</v>
      </c>
    </row>
    <row r="47" customFormat="false" ht="23.85" hidden="false" customHeight="false" outlineLevel="0" collapsed="false">
      <c r="A47" s="22" t="s">
        <v>423</v>
      </c>
      <c r="B47" s="10" t="s">
        <v>41</v>
      </c>
      <c r="C47" s="15" t="s">
        <v>411</v>
      </c>
      <c r="D47" s="10" t="s">
        <v>424</v>
      </c>
      <c r="E47" s="11" t="s">
        <v>96</v>
      </c>
      <c r="F47" s="11" t="s">
        <v>192</v>
      </c>
      <c r="G47" s="15" t="s">
        <v>154</v>
      </c>
      <c r="H47" s="15" t="s">
        <v>425</v>
      </c>
      <c r="I47" s="15" t="s">
        <v>194</v>
      </c>
      <c r="J47" s="15" t="s">
        <v>154</v>
      </c>
      <c r="K47" s="11" t="s">
        <v>195</v>
      </c>
      <c r="L47" s="15" t="s">
        <v>426</v>
      </c>
      <c r="M47" s="11" t="n">
        <f aca="false">COUNTIF(Taches!$B$6:$B$250,$A47)</f>
        <v>1</v>
      </c>
      <c r="N47" s="11" t="n">
        <v>2</v>
      </c>
      <c r="O47" s="20" t="s">
        <v>104</v>
      </c>
      <c r="P47" s="21" t="s">
        <v>427</v>
      </c>
      <c r="Q47" s="21" t="s">
        <v>428</v>
      </c>
      <c r="R47" s="21" t="s">
        <v>429</v>
      </c>
    </row>
    <row r="48" customFormat="false" ht="23.85" hidden="false" customHeight="false" outlineLevel="0" collapsed="false">
      <c r="A48" s="22" t="s">
        <v>430</v>
      </c>
      <c r="B48" s="10" t="s">
        <v>41</v>
      </c>
      <c r="C48" s="15" t="s">
        <v>411</v>
      </c>
      <c r="D48" s="10" t="s">
        <v>431</v>
      </c>
      <c r="E48" s="11" t="s">
        <v>432</v>
      </c>
      <c r="F48" s="11" t="s">
        <v>433</v>
      </c>
      <c r="G48" s="15" t="s">
        <v>434</v>
      </c>
      <c r="H48" s="15" t="s">
        <v>435</v>
      </c>
      <c r="I48" s="15" t="s">
        <v>194</v>
      </c>
      <c r="J48" s="15" t="s">
        <v>436</v>
      </c>
      <c r="K48" s="11" t="s">
        <v>437</v>
      </c>
      <c r="L48" s="15" t="s">
        <v>438</v>
      </c>
      <c r="M48" s="11" t="n">
        <f aca="false">COUNTIF(Taches!$B$6:$B$250,$A48)</f>
        <v>1</v>
      </c>
      <c r="N48" s="11" t="n">
        <v>1</v>
      </c>
      <c r="O48" s="20" t="s">
        <v>439</v>
      </c>
      <c r="P48" s="21" t="s">
        <v>440</v>
      </c>
      <c r="Q48" s="21" t="s">
        <v>441</v>
      </c>
      <c r="R48" s="21" t="s">
        <v>442</v>
      </c>
    </row>
    <row r="49" customFormat="false" ht="23.85" hidden="false" customHeight="false" outlineLevel="0" collapsed="false">
      <c r="A49" s="22" t="s">
        <v>443</v>
      </c>
      <c r="B49" s="10" t="s">
        <v>41</v>
      </c>
      <c r="C49" s="15" t="s">
        <v>411</v>
      </c>
      <c r="D49" s="10" t="s">
        <v>444</v>
      </c>
      <c r="E49" s="11" t="s">
        <v>302</v>
      </c>
      <c r="F49" s="11" t="s">
        <v>192</v>
      </c>
      <c r="G49" s="15" t="s">
        <v>154</v>
      </c>
      <c r="H49" s="15" t="s">
        <v>445</v>
      </c>
      <c r="I49" s="15" t="s">
        <v>194</v>
      </c>
      <c r="J49" s="15" t="s">
        <v>154</v>
      </c>
      <c r="K49" s="11" t="s">
        <v>195</v>
      </c>
      <c r="L49" s="15" t="s">
        <v>446</v>
      </c>
      <c r="M49" s="11" t="n">
        <f aca="false">COUNTIF(Taches!$B$6:$B$250,$A49)</f>
        <v>1</v>
      </c>
      <c r="N49" s="11" t="n">
        <v>3</v>
      </c>
      <c r="O49" s="20" t="s">
        <v>104</v>
      </c>
      <c r="P49" s="21" t="s">
        <v>447</v>
      </c>
      <c r="Q49" s="21" t="s">
        <v>416</v>
      </c>
      <c r="R49" s="21" t="s">
        <v>154</v>
      </c>
    </row>
    <row r="50" customFormat="false" ht="23.85" hidden="false" customHeight="false" outlineLevel="0" collapsed="false">
      <c r="A50" s="22" t="s">
        <v>448</v>
      </c>
      <c r="B50" s="10" t="s">
        <v>41</v>
      </c>
      <c r="C50" s="15" t="s">
        <v>411</v>
      </c>
      <c r="D50" s="10" t="s">
        <v>449</v>
      </c>
      <c r="E50" s="11" t="s">
        <v>450</v>
      </c>
      <c r="F50" s="11" t="s">
        <v>192</v>
      </c>
      <c r="G50" s="15" t="s">
        <v>154</v>
      </c>
      <c r="H50" s="15" t="s">
        <v>451</v>
      </c>
      <c r="I50" s="15" t="s">
        <v>194</v>
      </c>
      <c r="J50" s="15" t="s">
        <v>154</v>
      </c>
      <c r="K50" s="11" t="s">
        <v>452</v>
      </c>
      <c r="L50" s="15" t="s">
        <v>453</v>
      </c>
      <c r="M50" s="11" t="n">
        <f aca="false">COUNTIF(Taches!$B$6:$B$250,$A50)</f>
        <v>2</v>
      </c>
      <c r="N50" s="11" t="n">
        <v>2</v>
      </c>
      <c r="O50" s="20" t="s">
        <v>104</v>
      </c>
      <c r="P50" s="21" t="s">
        <v>454</v>
      </c>
      <c r="Q50" s="21" t="s">
        <v>382</v>
      </c>
      <c r="R50" s="21" t="s">
        <v>154</v>
      </c>
    </row>
    <row r="51" customFormat="false" ht="23.85" hidden="false" customHeight="false" outlineLevel="0" collapsed="false">
      <c r="A51" s="22" t="s">
        <v>455</v>
      </c>
      <c r="B51" s="10" t="s">
        <v>44</v>
      </c>
      <c r="C51" s="15" t="s">
        <v>44</v>
      </c>
      <c r="D51" s="10" t="s">
        <v>456</v>
      </c>
      <c r="E51" s="11" t="s">
        <v>457</v>
      </c>
      <c r="F51" s="11" t="s">
        <v>192</v>
      </c>
      <c r="G51" s="15" t="s">
        <v>154</v>
      </c>
      <c r="H51" s="15" t="s">
        <v>458</v>
      </c>
      <c r="I51" s="15" t="s">
        <v>194</v>
      </c>
      <c r="J51" s="15" t="s">
        <v>154</v>
      </c>
      <c r="K51" s="11" t="s">
        <v>437</v>
      </c>
      <c r="L51" s="15" t="s">
        <v>459</v>
      </c>
      <c r="M51" s="11" t="n">
        <f aca="false">COUNTIF(Taches!$B$6:$B$250,$A51)</f>
        <v>1</v>
      </c>
      <c r="N51" s="11" t="n">
        <v>2</v>
      </c>
      <c r="O51" s="20" t="s">
        <v>104</v>
      </c>
      <c r="P51" s="21" t="s">
        <v>460</v>
      </c>
      <c r="Q51" s="21" t="s">
        <v>461</v>
      </c>
      <c r="R51" s="21" t="s">
        <v>154</v>
      </c>
    </row>
    <row r="52" customFormat="false" ht="23.85" hidden="false" customHeight="false" outlineLevel="0" collapsed="false">
      <c r="A52" s="22" t="s">
        <v>462</v>
      </c>
      <c r="B52" s="10" t="s">
        <v>44</v>
      </c>
      <c r="C52" s="15" t="s">
        <v>44</v>
      </c>
      <c r="D52" s="10" t="s">
        <v>463</v>
      </c>
      <c r="E52" s="11" t="s">
        <v>464</v>
      </c>
      <c r="F52" s="11" t="s">
        <v>192</v>
      </c>
      <c r="G52" s="15" t="s">
        <v>154</v>
      </c>
      <c r="H52" s="15" t="s">
        <v>465</v>
      </c>
      <c r="I52" s="15" t="s">
        <v>194</v>
      </c>
      <c r="J52" s="15" t="s">
        <v>154</v>
      </c>
      <c r="K52" s="11" t="s">
        <v>466</v>
      </c>
      <c r="L52" s="15" t="s">
        <v>467</v>
      </c>
      <c r="M52" s="11" t="n">
        <f aca="false">COUNTIF(Taches!$B$6:$B$250,$A52)</f>
        <v>1</v>
      </c>
      <c r="N52" s="11" t="n">
        <v>2</v>
      </c>
      <c r="O52" s="20" t="s">
        <v>104</v>
      </c>
      <c r="P52" s="21" t="s">
        <v>468</v>
      </c>
      <c r="Q52" s="21" t="s">
        <v>382</v>
      </c>
      <c r="R52" s="21" t="s">
        <v>469</v>
      </c>
    </row>
    <row r="53" customFormat="false" ht="23.85" hidden="false" customHeight="false" outlineLevel="0" collapsed="false">
      <c r="A53" s="22" t="s">
        <v>470</v>
      </c>
      <c r="B53" s="10" t="s">
        <v>44</v>
      </c>
      <c r="C53" s="15" t="s">
        <v>44</v>
      </c>
      <c r="D53" s="10" t="s">
        <v>471</v>
      </c>
      <c r="E53" s="11" t="s">
        <v>472</v>
      </c>
      <c r="F53" s="11" t="s">
        <v>192</v>
      </c>
      <c r="G53" s="15" t="s">
        <v>154</v>
      </c>
      <c r="H53" s="15" t="s">
        <v>473</v>
      </c>
      <c r="I53" s="15" t="s">
        <v>194</v>
      </c>
      <c r="J53" s="15" t="s">
        <v>154</v>
      </c>
      <c r="K53" s="11" t="s">
        <v>474</v>
      </c>
      <c r="L53" s="15" t="s">
        <v>475</v>
      </c>
      <c r="M53" s="11" t="n">
        <f aca="false">COUNTIF(Taches!$B$6:$B$250,$A53)</f>
        <v>1</v>
      </c>
      <c r="N53" s="11" t="n">
        <v>3</v>
      </c>
      <c r="O53" s="20" t="s">
        <v>104</v>
      </c>
      <c r="P53" s="21" t="s">
        <v>476</v>
      </c>
      <c r="Q53" s="21" t="s">
        <v>477</v>
      </c>
      <c r="R53" s="21" t="s">
        <v>154</v>
      </c>
    </row>
    <row r="54" customFormat="false" ht="23.85" hidden="false" customHeight="false" outlineLevel="0" collapsed="false">
      <c r="A54" s="22" t="s">
        <v>478</v>
      </c>
      <c r="B54" s="10" t="s">
        <v>44</v>
      </c>
      <c r="C54" s="15" t="s">
        <v>44</v>
      </c>
      <c r="D54" s="10" t="s">
        <v>479</v>
      </c>
      <c r="E54" s="11" t="s">
        <v>302</v>
      </c>
      <c r="F54" s="11" t="s">
        <v>192</v>
      </c>
      <c r="G54" s="15" t="s">
        <v>154</v>
      </c>
      <c r="H54" s="15" t="s">
        <v>480</v>
      </c>
      <c r="I54" s="15" t="s">
        <v>194</v>
      </c>
      <c r="J54" s="15" t="s">
        <v>154</v>
      </c>
      <c r="K54" s="11" t="s">
        <v>195</v>
      </c>
      <c r="L54" s="15" t="s">
        <v>481</v>
      </c>
      <c r="M54" s="11" t="n">
        <f aca="false">COUNTIF(Taches!$B$6:$B$250,$A54)</f>
        <v>1</v>
      </c>
      <c r="N54" s="11" t="n">
        <v>3</v>
      </c>
      <c r="O54" s="20" t="s">
        <v>104</v>
      </c>
      <c r="P54" s="21" t="s">
        <v>305</v>
      </c>
      <c r="Q54" s="21" t="s">
        <v>482</v>
      </c>
      <c r="R54" s="21" t="s">
        <v>154</v>
      </c>
    </row>
    <row r="55" customFormat="false" ht="23.85" hidden="false" customHeight="false" outlineLevel="0" collapsed="false">
      <c r="A55" s="22" t="s">
        <v>483</v>
      </c>
      <c r="B55" s="10" t="s">
        <v>42</v>
      </c>
      <c r="C55" s="15" t="s">
        <v>44</v>
      </c>
      <c r="D55" s="10" t="s">
        <v>484</v>
      </c>
      <c r="E55" s="11" t="s">
        <v>485</v>
      </c>
      <c r="F55" s="11" t="s">
        <v>192</v>
      </c>
      <c r="G55" s="15" t="s">
        <v>154</v>
      </c>
      <c r="H55" s="15" t="s">
        <v>486</v>
      </c>
      <c r="I55" s="15" t="s">
        <v>194</v>
      </c>
      <c r="J55" s="15" t="s">
        <v>154</v>
      </c>
      <c r="K55" s="11" t="s">
        <v>487</v>
      </c>
      <c r="L55" s="15" t="s">
        <v>488</v>
      </c>
      <c r="M55" s="11" t="n">
        <f aca="false">COUNTIF(Taches!$B$6:$B$250,$A55)</f>
        <v>1</v>
      </c>
      <c r="N55" s="11" t="n">
        <v>3</v>
      </c>
      <c r="O55" s="20" t="s">
        <v>104</v>
      </c>
      <c r="P55" s="21" t="s">
        <v>489</v>
      </c>
      <c r="Q55" s="21" t="s">
        <v>490</v>
      </c>
      <c r="R55" s="21" t="s">
        <v>154</v>
      </c>
    </row>
    <row r="56" customFormat="false" ht="23.85" hidden="false" customHeight="false" outlineLevel="0" collapsed="false">
      <c r="A56" s="22" t="s">
        <v>491</v>
      </c>
      <c r="B56" s="10" t="s">
        <v>47</v>
      </c>
      <c r="C56" s="15" t="s">
        <v>492</v>
      </c>
      <c r="D56" s="10" t="s">
        <v>493</v>
      </c>
      <c r="E56" s="11" t="s">
        <v>158</v>
      </c>
      <c r="F56" s="11" t="s">
        <v>192</v>
      </c>
      <c r="G56" s="15" t="s">
        <v>154</v>
      </c>
      <c r="H56" s="15" t="s">
        <v>494</v>
      </c>
      <c r="I56" s="15" t="s">
        <v>194</v>
      </c>
      <c r="J56" s="15" t="s">
        <v>154</v>
      </c>
      <c r="K56" s="11" t="s">
        <v>195</v>
      </c>
      <c r="L56" s="15" t="s">
        <v>495</v>
      </c>
      <c r="M56" s="11" t="n">
        <f aca="false">COUNTIF(Taches!$B$6:$B$250,$A56)</f>
        <v>2</v>
      </c>
      <c r="N56" s="11" t="n">
        <v>2</v>
      </c>
      <c r="O56" s="20" t="s">
        <v>76</v>
      </c>
      <c r="P56" s="21" t="s">
        <v>153</v>
      </c>
      <c r="Q56" s="21" t="s">
        <v>154</v>
      </c>
      <c r="R56" s="21" t="s">
        <v>154</v>
      </c>
    </row>
    <row r="57" customFormat="false" ht="23.85" hidden="false" customHeight="false" outlineLevel="0" collapsed="false">
      <c r="A57" s="22" t="s">
        <v>496</v>
      </c>
      <c r="B57" s="10" t="s">
        <v>47</v>
      </c>
      <c r="C57" s="15" t="s">
        <v>492</v>
      </c>
      <c r="D57" s="10" t="s">
        <v>497</v>
      </c>
      <c r="E57" s="11" t="s">
        <v>498</v>
      </c>
      <c r="F57" s="11" t="s">
        <v>192</v>
      </c>
      <c r="G57" s="15" t="s">
        <v>154</v>
      </c>
      <c r="H57" s="15" t="s">
        <v>499</v>
      </c>
      <c r="I57" s="15" t="s">
        <v>194</v>
      </c>
      <c r="J57" s="15" t="s">
        <v>154</v>
      </c>
      <c r="K57" s="11" t="s">
        <v>195</v>
      </c>
      <c r="L57" s="15" t="s">
        <v>500</v>
      </c>
      <c r="M57" s="11" t="n">
        <f aca="false">COUNTIF(Taches!$B$6:$B$250,$A57)</f>
        <v>1</v>
      </c>
      <c r="N57" s="11" t="n">
        <v>3</v>
      </c>
      <c r="O57" s="20" t="s">
        <v>74</v>
      </c>
      <c r="P57" s="21" t="s">
        <v>501</v>
      </c>
      <c r="Q57" s="21" t="s">
        <v>502</v>
      </c>
      <c r="R57" s="21" t="s">
        <v>503</v>
      </c>
    </row>
    <row r="58" customFormat="false" ht="23.85" hidden="false" customHeight="false" outlineLevel="0" collapsed="false">
      <c r="A58" s="22" t="s">
        <v>504</v>
      </c>
      <c r="B58" s="10" t="s">
        <v>47</v>
      </c>
      <c r="C58" s="15" t="s">
        <v>492</v>
      </c>
      <c r="D58" s="10" t="s">
        <v>505</v>
      </c>
      <c r="E58" s="11" t="s">
        <v>247</v>
      </c>
      <c r="F58" s="11" t="s">
        <v>225</v>
      </c>
      <c r="G58" s="15" t="s">
        <v>506</v>
      </c>
      <c r="H58" s="15" t="s">
        <v>507</v>
      </c>
      <c r="I58" s="15" t="s">
        <v>202</v>
      </c>
      <c r="J58" s="15" t="s">
        <v>228</v>
      </c>
      <c r="K58" s="11" t="s">
        <v>140</v>
      </c>
      <c r="L58" s="15" t="s">
        <v>508</v>
      </c>
      <c r="M58" s="11" t="n">
        <f aca="false">COUNTIF(Taches!$B$6:$B$250,$A58)</f>
        <v>1</v>
      </c>
      <c r="N58" s="11" t="n">
        <v>2</v>
      </c>
      <c r="O58" s="20" t="s">
        <v>104</v>
      </c>
      <c r="P58" s="21" t="s">
        <v>509</v>
      </c>
      <c r="Q58" s="21" t="s">
        <v>510</v>
      </c>
      <c r="R58" s="21" t="s">
        <v>154</v>
      </c>
    </row>
    <row r="59" customFormat="false" ht="23.85" hidden="false" customHeight="false" outlineLevel="0" collapsed="false">
      <c r="A59" s="22" t="s">
        <v>511</v>
      </c>
      <c r="B59" s="10" t="s">
        <v>47</v>
      </c>
      <c r="C59" s="15" t="s">
        <v>492</v>
      </c>
      <c r="D59" s="10" t="s">
        <v>512</v>
      </c>
      <c r="E59" s="11" t="s">
        <v>513</v>
      </c>
      <c r="F59" s="11" t="s">
        <v>192</v>
      </c>
      <c r="G59" s="15" t="s">
        <v>154</v>
      </c>
      <c r="H59" s="15" t="s">
        <v>514</v>
      </c>
      <c r="I59" s="15" t="s">
        <v>515</v>
      </c>
      <c r="J59" s="15" t="s">
        <v>154</v>
      </c>
      <c r="K59" s="11" t="s">
        <v>102</v>
      </c>
      <c r="L59" s="15" t="s">
        <v>516</v>
      </c>
      <c r="M59" s="11" t="n">
        <f aca="false">COUNTIF(Taches!$B$6:$B$250,$A59)</f>
        <v>1</v>
      </c>
      <c r="N59" s="11" t="n">
        <v>2</v>
      </c>
      <c r="O59" s="20" t="s">
        <v>104</v>
      </c>
      <c r="P59" s="21" t="s">
        <v>517</v>
      </c>
      <c r="Q59" s="21" t="s">
        <v>518</v>
      </c>
      <c r="R59" s="21" t="s">
        <v>154</v>
      </c>
    </row>
    <row r="60" customFormat="false" ht="23.85" hidden="false" customHeight="false" outlineLevel="0" collapsed="false">
      <c r="A60" s="22" t="s">
        <v>519</v>
      </c>
      <c r="B60" s="10" t="s">
        <v>47</v>
      </c>
      <c r="C60" s="15" t="s">
        <v>492</v>
      </c>
      <c r="D60" s="10" t="s">
        <v>520</v>
      </c>
      <c r="E60" s="11" t="s">
        <v>154</v>
      </c>
      <c r="F60" s="11" t="s">
        <v>521</v>
      </c>
      <c r="G60" s="15" t="s">
        <v>522</v>
      </c>
      <c r="H60" s="15" t="s">
        <v>523</v>
      </c>
      <c r="I60" s="15" t="s">
        <v>524</v>
      </c>
      <c r="J60" s="15" t="s">
        <v>525</v>
      </c>
      <c r="K60" s="11" t="s">
        <v>56</v>
      </c>
      <c r="L60" s="15" t="s">
        <v>526</v>
      </c>
      <c r="M60" s="11" t="n">
        <f aca="false">COUNTIF(Taches!$B$6:$B$250,$A60)</f>
        <v>1</v>
      </c>
      <c r="N60" s="11" t="n">
        <v>2</v>
      </c>
      <c r="O60" s="20" t="s">
        <v>75</v>
      </c>
      <c r="P60" s="21" t="s">
        <v>153</v>
      </c>
      <c r="Q60" s="21" t="s">
        <v>154</v>
      </c>
      <c r="R60" s="21" t="s">
        <v>527</v>
      </c>
    </row>
    <row r="61" customFormat="false" ht="23.85" hidden="false" customHeight="false" outlineLevel="0" collapsed="false">
      <c r="A61" s="22" t="s">
        <v>528</v>
      </c>
      <c r="B61" s="10" t="s">
        <v>47</v>
      </c>
      <c r="C61" s="15" t="s">
        <v>492</v>
      </c>
      <c r="D61" s="10" t="s">
        <v>529</v>
      </c>
      <c r="E61" s="11" t="s">
        <v>138</v>
      </c>
      <c r="F61" s="11" t="s">
        <v>225</v>
      </c>
      <c r="G61" s="15" t="s">
        <v>530</v>
      </c>
      <c r="H61" s="15" t="s">
        <v>531</v>
      </c>
      <c r="I61" s="15" t="s">
        <v>194</v>
      </c>
      <c r="J61" s="15" t="s">
        <v>532</v>
      </c>
      <c r="K61" s="11" t="s">
        <v>533</v>
      </c>
      <c r="L61" s="15" t="s">
        <v>534</v>
      </c>
      <c r="M61" s="11" t="n">
        <f aca="false">COUNTIF(Taches!$B$6:$B$250,$A61)</f>
        <v>1</v>
      </c>
      <c r="N61" s="11" t="n">
        <v>2</v>
      </c>
      <c r="O61" s="20" t="s">
        <v>104</v>
      </c>
      <c r="P61" s="21" t="s">
        <v>535</v>
      </c>
      <c r="Q61" s="21" t="s">
        <v>536</v>
      </c>
      <c r="R61" s="21" t="s">
        <v>154</v>
      </c>
    </row>
    <row r="62" customFormat="false" ht="23.85" hidden="false" customHeight="false" outlineLevel="0" collapsed="false">
      <c r="A62" s="22" t="s">
        <v>537</v>
      </c>
      <c r="B62" s="10" t="s">
        <v>47</v>
      </c>
      <c r="C62" s="15" t="s">
        <v>492</v>
      </c>
      <c r="D62" s="10" t="s">
        <v>538</v>
      </c>
      <c r="E62" s="11" t="s">
        <v>247</v>
      </c>
      <c r="F62" s="11" t="s">
        <v>192</v>
      </c>
      <c r="G62" s="15" t="s">
        <v>154</v>
      </c>
      <c r="H62" s="15" t="s">
        <v>539</v>
      </c>
      <c r="I62" s="15" t="s">
        <v>194</v>
      </c>
      <c r="J62" s="15" t="s">
        <v>154</v>
      </c>
      <c r="K62" s="11" t="s">
        <v>195</v>
      </c>
      <c r="L62" s="15" t="s">
        <v>540</v>
      </c>
      <c r="M62" s="11" t="n">
        <f aca="false">COUNTIF(Taches!$B$6:$B$250,$A62)</f>
        <v>1</v>
      </c>
      <c r="N62" s="11" t="n">
        <v>3</v>
      </c>
      <c r="O62" s="20" t="s">
        <v>104</v>
      </c>
      <c r="P62" s="21" t="s">
        <v>541</v>
      </c>
      <c r="Q62" s="21" t="s">
        <v>542</v>
      </c>
      <c r="R62" s="21" t="s">
        <v>154</v>
      </c>
    </row>
    <row r="63" customFormat="false" ht="23.85" hidden="false" customHeight="false" outlineLevel="0" collapsed="false">
      <c r="A63" s="22" t="s">
        <v>543</v>
      </c>
      <c r="B63" s="10" t="s">
        <v>47</v>
      </c>
      <c r="C63" s="15" t="s">
        <v>492</v>
      </c>
      <c r="D63" s="10" t="s">
        <v>544</v>
      </c>
      <c r="E63" s="11" t="s">
        <v>110</v>
      </c>
      <c r="F63" s="11" t="s">
        <v>192</v>
      </c>
      <c r="G63" s="15" t="s">
        <v>154</v>
      </c>
      <c r="H63" s="15" t="s">
        <v>545</v>
      </c>
      <c r="I63" s="15" t="s">
        <v>202</v>
      </c>
      <c r="J63" s="15" t="s">
        <v>154</v>
      </c>
      <c r="K63" s="11" t="s">
        <v>546</v>
      </c>
      <c r="L63" s="15" t="s">
        <v>547</v>
      </c>
      <c r="M63" s="11" t="n">
        <f aca="false">COUNTIF(Taches!$B$6:$B$250,$A63)</f>
        <v>1</v>
      </c>
      <c r="N63" s="11" t="n">
        <v>3</v>
      </c>
      <c r="O63" s="20" t="s">
        <v>104</v>
      </c>
      <c r="P63" s="21" t="s">
        <v>548</v>
      </c>
      <c r="Q63" s="21" t="s">
        <v>549</v>
      </c>
      <c r="R63" s="21" t="s">
        <v>154</v>
      </c>
    </row>
    <row r="64" customFormat="false" ht="35.05" hidden="false" customHeight="false" outlineLevel="0" collapsed="false">
      <c r="A64" s="17" t="s">
        <v>550</v>
      </c>
      <c r="B64" s="18" t="s">
        <v>47</v>
      </c>
      <c r="C64" s="19" t="s">
        <v>551</v>
      </c>
      <c r="D64" s="18" t="s">
        <v>552</v>
      </c>
      <c r="E64" s="16" t="s">
        <v>553</v>
      </c>
      <c r="F64" s="17" t="s">
        <v>97</v>
      </c>
      <c r="G64" s="19" t="s">
        <v>554</v>
      </c>
      <c r="H64" s="19" t="s">
        <v>555</v>
      </c>
      <c r="I64" s="19" t="s">
        <v>556</v>
      </c>
      <c r="J64" s="19" t="s">
        <v>557</v>
      </c>
      <c r="K64" s="16" t="s">
        <v>558</v>
      </c>
      <c r="L64" s="19" t="s">
        <v>559</v>
      </c>
      <c r="M64" s="16" t="n">
        <f aca="false">COUNTIF(Taches!$B$6:$B$250,$A64)</f>
        <v>2</v>
      </c>
      <c r="N64" s="16" t="n">
        <v>1</v>
      </c>
      <c r="O64" s="20" t="s">
        <v>75</v>
      </c>
      <c r="P64" s="21" t="s">
        <v>197</v>
      </c>
      <c r="Q64" s="21" t="s">
        <v>154</v>
      </c>
      <c r="R64" s="21" t="s">
        <v>560</v>
      </c>
    </row>
    <row r="65" customFormat="false" ht="35.05" hidden="false" customHeight="false" outlineLevel="0" collapsed="false">
      <c r="A65" s="17" t="s">
        <v>561</v>
      </c>
      <c r="B65" s="18" t="s">
        <v>47</v>
      </c>
      <c r="C65" s="19" t="s">
        <v>551</v>
      </c>
      <c r="D65" s="18" t="s">
        <v>562</v>
      </c>
      <c r="E65" s="16" t="s">
        <v>96</v>
      </c>
      <c r="F65" s="17" t="s">
        <v>97</v>
      </c>
      <c r="G65" s="19" t="s">
        <v>554</v>
      </c>
      <c r="H65" s="19" t="s">
        <v>563</v>
      </c>
      <c r="I65" s="19" t="s">
        <v>564</v>
      </c>
      <c r="J65" s="19" t="s">
        <v>565</v>
      </c>
      <c r="K65" s="16" t="s">
        <v>566</v>
      </c>
      <c r="L65" s="19" t="s">
        <v>567</v>
      </c>
      <c r="M65" s="16" t="n">
        <f aca="false">COUNTIF(Taches!$B$6:$B$250,$A65)</f>
        <v>1</v>
      </c>
      <c r="N65" s="16" t="n">
        <v>1</v>
      </c>
      <c r="O65" s="20" t="s">
        <v>104</v>
      </c>
      <c r="P65" s="21" t="s">
        <v>568</v>
      </c>
      <c r="Q65" s="21" t="s">
        <v>569</v>
      </c>
      <c r="R65" s="21" t="s">
        <v>570</v>
      </c>
    </row>
    <row r="66" customFormat="false" ht="15" hidden="false" customHeight="false" outlineLevel="0" collapsed="false">
      <c r="A66" s="22" t="s">
        <v>571</v>
      </c>
      <c r="B66" s="10" t="s">
        <v>47</v>
      </c>
      <c r="C66" s="15" t="s">
        <v>551</v>
      </c>
      <c r="D66" s="10" t="s">
        <v>572</v>
      </c>
      <c r="E66" s="11" t="s">
        <v>154</v>
      </c>
      <c r="F66" s="11" t="s">
        <v>192</v>
      </c>
      <c r="G66" s="15" t="s">
        <v>154</v>
      </c>
      <c r="H66" s="15" t="s">
        <v>573</v>
      </c>
      <c r="I66" s="15" t="s">
        <v>194</v>
      </c>
      <c r="J66" s="15" t="s">
        <v>154</v>
      </c>
      <c r="K66" s="11" t="s">
        <v>195</v>
      </c>
      <c r="L66" s="15" t="s">
        <v>574</v>
      </c>
      <c r="M66" s="11" t="n">
        <f aca="false">COUNTIF(Taches!$B$6:$B$250,$A66)</f>
        <v>1</v>
      </c>
      <c r="N66" s="11" t="n">
        <v>2</v>
      </c>
      <c r="O66" s="20" t="s">
        <v>76</v>
      </c>
      <c r="P66" s="21" t="s">
        <v>153</v>
      </c>
      <c r="Q66" s="21" t="s">
        <v>154</v>
      </c>
      <c r="R66" s="21" t="s">
        <v>154</v>
      </c>
    </row>
    <row r="67" customFormat="false" ht="23.85" hidden="false" customHeight="false" outlineLevel="0" collapsed="false">
      <c r="A67" s="22" t="s">
        <v>575</v>
      </c>
      <c r="B67" s="10" t="s">
        <v>47</v>
      </c>
      <c r="C67" s="15" t="s">
        <v>551</v>
      </c>
      <c r="D67" s="10" t="s">
        <v>576</v>
      </c>
      <c r="E67" s="11" t="s">
        <v>154</v>
      </c>
      <c r="F67" s="11" t="s">
        <v>192</v>
      </c>
      <c r="G67" s="15" t="s">
        <v>154</v>
      </c>
      <c r="H67" s="15" t="s">
        <v>577</v>
      </c>
      <c r="I67" s="15" t="s">
        <v>194</v>
      </c>
      <c r="J67" s="15" t="s">
        <v>154</v>
      </c>
      <c r="K67" s="11" t="s">
        <v>195</v>
      </c>
      <c r="L67" s="15" t="s">
        <v>578</v>
      </c>
      <c r="M67" s="11" t="n">
        <f aca="false">COUNTIF(Taches!$B$6:$B$250,$A67)</f>
        <v>1</v>
      </c>
      <c r="N67" s="11" t="n">
        <v>2</v>
      </c>
      <c r="O67" s="20" t="s">
        <v>76</v>
      </c>
      <c r="P67" s="21" t="s">
        <v>153</v>
      </c>
      <c r="Q67" s="21" t="s">
        <v>154</v>
      </c>
      <c r="R67" s="21" t="s">
        <v>154</v>
      </c>
    </row>
    <row r="68" customFormat="false" ht="15" hidden="false" customHeight="false" outlineLevel="0" collapsed="false">
      <c r="A68" s="22" t="s">
        <v>579</v>
      </c>
      <c r="B68" s="10" t="s">
        <v>47</v>
      </c>
      <c r="C68" s="15" t="s">
        <v>551</v>
      </c>
      <c r="D68" s="10" t="s">
        <v>580</v>
      </c>
      <c r="E68" s="11" t="s">
        <v>581</v>
      </c>
      <c r="F68" s="11" t="s">
        <v>192</v>
      </c>
      <c r="G68" s="15" t="s">
        <v>154</v>
      </c>
      <c r="H68" s="15" t="s">
        <v>582</v>
      </c>
      <c r="I68" s="15" t="s">
        <v>202</v>
      </c>
      <c r="J68" s="15" t="s">
        <v>583</v>
      </c>
      <c r="K68" s="11" t="s">
        <v>313</v>
      </c>
      <c r="L68" s="15" t="s">
        <v>584</v>
      </c>
      <c r="M68" s="11" t="n">
        <f aca="false">COUNTIF(Taches!$B$6:$B$250,$A68)</f>
        <v>1</v>
      </c>
      <c r="N68" s="11" t="n">
        <v>2</v>
      </c>
      <c r="O68" s="20" t="s">
        <v>76</v>
      </c>
      <c r="P68" s="21" t="s">
        <v>153</v>
      </c>
      <c r="Q68" s="21" t="s">
        <v>154</v>
      </c>
      <c r="R68" s="21" t="s">
        <v>154</v>
      </c>
    </row>
    <row r="69" customFormat="false" ht="35.05" hidden="false" customHeight="false" outlineLevel="0" collapsed="false">
      <c r="A69" s="22" t="s">
        <v>585</v>
      </c>
      <c r="B69" s="10" t="s">
        <v>48</v>
      </c>
      <c r="C69" s="15" t="s">
        <v>48</v>
      </c>
      <c r="D69" s="10" t="s">
        <v>586</v>
      </c>
      <c r="E69" s="11" t="s">
        <v>224</v>
      </c>
      <c r="F69" s="11" t="s">
        <v>192</v>
      </c>
      <c r="G69" s="15" t="s">
        <v>154</v>
      </c>
      <c r="H69" s="15" t="s">
        <v>587</v>
      </c>
      <c r="I69" s="15" t="s">
        <v>211</v>
      </c>
      <c r="J69" s="15" t="s">
        <v>228</v>
      </c>
      <c r="K69" s="11" t="s">
        <v>313</v>
      </c>
      <c r="L69" s="15" t="s">
        <v>588</v>
      </c>
      <c r="M69" s="11" t="n">
        <f aca="false">COUNTIF(Taches!$B$6:$B$250,$A69)</f>
        <v>2</v>
      </c>
      <c r="N69" s="11" t="n">
        <v>1</v>
      </c>
      <c r="O69" s="20" t="s">
        <v>75</v>
      </c>
      <c r="P69" s="21" t="s">
        <v>589</v>
      </c>
      <c r="Q69" s="21" t="s">
        <v>590</v>
      </c>
      <c r="R69" s="21" t="s">
        <v>591</v>
      </c>
    </row>
    <row r="70" customFormat="false" ht="23.85" hidden="false" customHeight="false" outlineLevel="0" collapsed="false">
      <c r="A70" s="22" t="s">
        <v>592</v>
      </c>
      <c r="B70" s="10" t="s">
        <v>48</v>
      </c>
      <c r="C70" s="15" t="s">
        <v>48</v>
      </c>
      <c r="D70" s="10" t="s">
        <v>593</v>
      </c>
      <c r="E70" s="11" t="s">
        <v>247</v>
      </c>
      <c r="F70" s="11" t="s">
        <v>192</v>
      </c>
      <c r="G70" s="15" t="s">
        <v>154</v>
      </c>
      <c r="H70" s="15" t="s">
        <v>594</v>
      </c>
      <c r="I70" s="15" t="s">
        <v>194</v>
      </c>
      <c r="J70" s="15" t="s">
        <v>154</v>
      </c>
      <c r="K70" s="11" t="s">
        <v>195</v>
      </c>
      <c r="L70" s="15" t="s">
        <v>595</v>
      </c>
      <c r="M70" s="11" t="n">
        <f aca="false">COUNTIF(Taches!$B$6:$B$250,$A70)</f>
        <v>1</v>
      </c>
      <c r="N70" s="11" t="n">
        <v>1</v>
      </c>
      <c r="O70" s="20" t="s">
        <v>104</v>
      </c>
      <c r="P70" s="21" t="s">
        <v>596</v>
      </c>
      <c r="Q70" s="21" t="s">
        <v>416</v>
      </c>
      <c r="R70" s="21" t="s">
        <v>597</v>
      </c>
    </row>
    <row r="71" customFormat="false" ht="23.85" hidden="false" customHeight="false" outlineLevel="0" collapsed="false">
      <c r="A71" s="22" t="s">
        <v>598</v>
      </c>
      <c r="B71" s="10" t="s">
        <v>48</v>
      </c>
      <c r="C71" s="15" t="s">
        <v>48</v>
      </c>
      <c r="D71" s="10" t="s">
        <v>599</v>
      </c>
      <c r="E71" s="11" t="s">
        <v>247</v>
      </c>
      <c r="F71" s="11" t="s">
        <v>192</v>
      </c>
      <c r="G71" s="15" t="s">
        <v>154</v>
      </c>
      <c r="H71" s="15" t="s">
        <v>600</v>
      </c>
      <c r="I71" s="15" t="s">
        <v>202</v>
      </c>
      <c r="J71" s="15" t="s">
        <v>601</v>
      </c>
      <c r="K71" s="11" t="s">
        <v>350</v>
      </c>
      <c r="L71" s="15" t="s">
        <v>602</v>
      </c>
      <c r="M71" s="11" t="n">
        <f aca="false">COUNTIF(Taches!$B$6:$B$250,$A71)</f>
        <v>1</v>
      </c>
      <c r="N71" s="11" t="n">
        <v>2</v>
      </c>
      <c r="O71" s="20" t="s">
        <v>104</v>
      </c>
      <c r="P71" s="21" t="s">
        <v>603</v>
      </c>
      <c r="Q71" s="21" t="s">
        <v>604</v>
      </c>
      <c r="R71" s="21" t="s">
        <v>154</v>
      </c>
    </row>
    <row r="72" customFormat="false" ht="23.85" hidden="false" customHeight="false" outlineLevel="0" collapsed="false">
      <c r="A72" s="22" t="s">
        <v>605</v>
      </c>
      <c r="B72" s="10" t="s">
        <v>48</v>
      </c>
      <c r="C72" s="15" t="s">
        <v>48</v>
      </c>
      <c r="D72" s="10" t="s">
        <v>606</v>
      </c>
      <c r="E72" s="11" t="s">
        <v>247</v>
      </c>
      <c r="F72" s="11" t="s">
        <v>192</v>
      </c>
      <c r="G72" s="15" t="s">
        <v>154</v>
      </c>
      <c r="H72" s="15" t="s">
        <v>607</v>
      </c>
      <c r="I72" s="15" t="s">
        <v>608</v>
      </c>
      <c r="J72" s="15" t="s">
        <v>275</v>
      </c>
      <c r="K72" s="11" t="s">
        <v>131</v>
      </c>
      <c r="L72" s="15" t="s">
        <v>609</v>
      </c>
      <c r="M72" s="11" t="n">
        <f aca="false">COUNTIF(Taches!$B$6:$B$250,$A72)</f>
        <v>1</v>
      </c>
      <c r="N72" s="11" t="n">
        <v>2</v>
      </c>
      <c r="O72" s="20" t="s">
        <v>104</v>
      </c>
      <c r="P72" s="21" t="s">
        <v>610</v>
      </c>
      <c r="Q72" s="21" t="s">
        <v>611</v>
      </c>
      <c r="R72" s="21" t="s">
        <v>154</v>
      </c>
    </row>
    <row r="73" customFormat="false" ht="35.05" hidden="false" customHeight="false" outlineLevel="0" collapsed="false">
      <c r="A73" s="22" t="s">
        <v>612</v>
      </c>
      <c r="B73" s="10" t="s">
        <v>48</v>
      </c>
      <c r="C73" s="15" t="s">
        <v>48</v>
      </c>
      <c r="D73" s="10" t="s">
        <v>613</v>
      </c>
      <c r="E73" s="11" t="s">
        <v>224</v>
      </c>
      <c r="F73" s="11" t="s">
        <v>225</v>
      </c>
      <c r="G73" s="15" t="s">
        <v>614</v>
      </c>
      <c r="H73" s="15" t="s">
        <v>615</v>
      </c>
      <c r="I73" s="15" t="s">
        <v>616</v>
      </c>
      <c r="J73" s="15" t="s">
        <v>617</v>
      </c>
      <c r="K73" s="11" t="s">
        <v>618</v>
      </c>
      <c r="L73" s="15" t="s">
        <v>619</v>
      </c>
      <c r="M73" s="11" t="n">
        <f aca="false">COUNTIF(Taches!$B$6:$B$250,$A73)</f>
        <v>2</v>
      </c>
      <c r="N73" s="11" t="n">
        <v>1</v>
      </c>
      <c r="O73" s="20" t="s">
        <v>104</v>
      </c>
      <c r="P73" s="21" t="s">
        <v>620</v>
      </c>
      <c r="Q73" s="21" t="s">
        <v>621</v>
      </c>
      <c r="R73" s="21" t="s">
        <v>154</v>
      </c>
    </row>
    <row r="74" customFormat="false" ht="23.85" hidden="false" customHeight="false" outlineLevel="0" collapsed="false">
      <c r="A74" s="22" t="s">
        <v>622</v>
      </c>
      <c r="B74" s="10" t="s">
        <v>48</v>
      </c>
      <c r="C74" s="15" t="s">
        <v>48</v>
      </c>
      <c r="D74" s="10" t="s">
        <v>623</v>
      </c>
      <c r="E74" s="11" t="s">
        <v>154</v>
      </c>
      <c r="F74" s="11" t="s">
        <v>624</v>
      </c>
      <c r="G74" s="15" t="s">
        <v>625</v>
      </c>
      <c r="H74" s="15" t="s">
        <v>626</v>
      </c>
      <c r="I74" s="15" t="s">
        <v>627</v>
      </c>
      <c r="J74" s="15" t="s">
        <v>628</v>
      </c>
      <c r="K74" s="11" t="s">
        <v>629</v>
      </c>
      <c r="L74" s="15" t="s">
        <v>630</v>
      </c>
      <c r="M74" s="11" t="n">
        <f aca="false">COUNTIF(Taches!$B$6:$B$250,$A74)</f>
        <v>1</v>
      </c>
      <c r="N74" s="11" t="n">
        <v>1</v>
      </c>
      <c r="O74" s="20" t="s">
        <v>75</v>
      </c>
      <c r="P74" s="21" t="s">
        <v>153</v>
      </c>
      <c r="Q74" s="21" t="s">
        <v>154</v>
      </c>
      <c r="R74" s="21" t="s">
        <v>631</v>
      </c>
    </row>
    <row r="75" customFormat="false" ht="23.85" hidden="false" customHeight="false" outlineLevel="0" collapsed="false">
      <c r="A75" s="22" t="s">
        <v>632</v>
      </c>
      <c r="B75" s="10" t="s">
        <v>48</v>
      </c>
      <c r="C75" s="15" t="s">
        <v>48</v>
      </c>
      <c r="D75" s="10" t="s">
        <v>633</v>
      </c>
      <c r="E75" s="11" t="s">
        <v>96</v>
      </c>
      <c r="F75" s="11" t="s">
        <v>192</v>
      </c>
      <c r="G75" s="15" t="s">
        <v>154</v>
      </c>
      <c r="H75" s="15" t="s">
        <v>634</v>
      </c>
      <c r="I75" s="15" t="s">
        <v>194</v>
      </c>
      <c r="J75" s="15" t="s">
        <v>154</v>
      </c>
      <c r="K75" s="11" t="s">
        <v>533</v>
      </c>
      <c r="L75" s="15" t="s">
        <v>635</v>
      </c>
      <c r="M75" s="11" t="n">
        <f aca="false">COUNTIF(Taches!$B$6:$B$250,$A75)</f>
        <v>1</v>
      </c>
      <c r="N75" s="11" t="n">
        <v>3</v>
      </c>
      <c r="O75" s="20" t="s">
        <v>104</v>
      </c>
      <c r="P75" s="21" t="s">
        <v>636</v>
      </c>
      <c r="Q75" s="21" t="s">
        <v>637</v>
      </c>
      <c r="R75" s="21" t="s">
        <v>154</v>
      </c>
    </row>
    <row r="76" customFormat="false" ht="23.85" hidden="false" customHeight="false" outlineLevel="0" collapsed="false">
      <c r="A76" s="17" t="s">
        <v>638</v>
      </c>
      <c r="B76" s="18" t="s">
        <v>47</v>
      </c>
      <c r="C76" s="19" t="s">
        <v>639</v>
      </c>
      <c r="D76" s="18" t="s">
        <v>640</v>
      </c>
      <c r="E76" s="16" t="s">
        <v>641</v>
      </c>
      <c r="F76" s="17" t="s">
        <v>97</v>
      </c>
      <c r="G76" s="19" t="s">
        <v>642</v>
      </c>
      <c r="H76" s="19" t="s">
        <v>643</v>
      </c>
      <c r="I76" s="19" t="s">
        <v>194</v>
      </c>
      <c r="J76" s="19" t="s">
        <v>644</v>
      </c>
      <c r="K76" s="16" t="s">
        <v>338</v>
      </c>
      <c r="L76" s="19" t="s">
        <v>645</v>
      </c>
      <c r="M76" s="16" t="n">
        <f aca="false">COUNTIF(Taches!$B$6:$B$250,$A76)</f>
        <v>2</v>
      </c>
      <c r="N76" s="16" t="n">
        <v>1</v>
      </c>
      <c r="O76" s="20" t="s">
        <v>439</v>
      </c>
      <c r="P76" s="21" t="s">
        <v>646</v>
      </c>
      <c r="Q76" s="21" t="s">
        <v>647</v>
      </c>
      <c r="R76" s="21" t="s">
        <v>648</v>
      </c>
    </row>
    <row r="77" customFormat="false" ht="23.85" hidden="false" customHeight="false" outlineLevel="0" collapsed="false">
      <c r="A77" s="22" t="s">
        <v>649</v>
      </c>
      <c r="B77" s="10" t="s">
        <v>47</v>
      </c>
      <c r="C77" s="15" t="s">
        <v>639</v>
      </c>
      <c r="D77" s="10" t="s">
        <v>650</v>
      </c>
      <c r="E77" s="11" t="s">
        <v>472</v>
      </c>
      <c r="F77" s="11" t="s">
        <v>651</v>
      </c>
      <c r="G77" s="15" t="s">
        <v>154</v>
      </c>
      <c r="H77" s="15" t="s">
        <v>652</v>
      </c>
      <c r="I77" s="15" t="s">
        <v>194</v>
      </c>
      <c r="J77" s="15" t="s">
        <v>154</v>
      </c>
      <c r="K77" s="11" t="s">
        <v>653</v>
      </c>
      <c r="L77" s="15" t="s">
        <v>654</v>
      </c>
      <c r="M77" s="11" t="n">
        <f aca="false">COUNTIF(Taches!$B$6:$B$250,$A77)</f>
        <v>1</v>
      </c>
      <c r="N77" s="11" t="n">
        <v>1</v>
      </c>
      <c r="O77" s="20" t="s">
        <v>439</v>
      </c>
      <c r="P77" s="21" t="s">
        <v>646</v>
      </c>
      <c r="Q77" s="21" t="s">
        <v>655</v>
      </c>
      <c r="R77" s="21" t="s">
        <v>656</v>
      </c>
    </row>
    <row r="78" customFormat="false" ht="23.85" hidden="false" customHeight="false" outlineLevel="0" collapsed="false">
      <c r="A78" s="22" t="s">
        <v>657</v>
      </c>
      <c r="B78" s="10" t="s">
        <v>47</v>
      </c>
      <c r="C78" s="15" t="s">
        <v>639</v>
      </c>
      <c r="D78" s="10" t="s">
        <v>658</v>
      </c>
      <c r="E78" s="11" t="s">
        <v>659</v>
      </c>
      <c r="F78" s="11" t="s">
        <v>225</v>
      </c>
      <c r="G78" s="15" t="s">
        <v>660</v>
      </c>
      <c r="H78" s="15" t="s">
        <v>661</v>
      </c>
      <c r="I78" s="15" t="s">
        <v>662</v>
      </c>
      <c r="J78" s="15" t="s">
        <v>663</v>
      </c>
      <c r="K78" s="11" t="s">
        <v>664</v>
      </c>
      <c r="L78" s="15" t="s">
        <v>665</v>
      </c>
      <c r="M78" s="11" t="n">
        <f aca="false">COUNTIF(Taches!$B$6:$B$250,$A78)</f>
        <v>1</v>
      </c>
      <c r="N78" s="11" t="n">
        <v>3</v>
      </c>
      <c r="O78" s="20" t="s">
        <v>439</v>
      </c>
      <c r="P78" s="21" t="s">
        <v>666</v>
      </c>
      <c r="Q78" s="21" t="s">
        <v>667</v>
      </c>
      <c r="R78" s="21" t="s">
        <v>154</v>
      </c>
    </row>
    <row r="79" customFormat="false" ht="23.85" hidden="false" customHeight="false" outlineLevel="0" collapsed="false">
      <c r="A79" s="22" t="s">
        <v>668</v>
      </c>
      <c r="B79" s="10" t="s">
        <v>47</v>
      </c>
      <c r="C79" s="15" t="s">
        <v>639</v>
      </c>
      <c r="D79" s="10" t="s">
        <v>669</v>
      </c>
      <c r="E79" s="11" t="s">
        <v>513</v>
      </c>
      <c r="F79" s="11" t="s">
        <v>192</v>
      </c>
      <c r="G79" s="15" t="s">
        <v>154</v>
      </c>
      <c r="H79" s="15" t="s">
        <v>670</v>
      </c>
      <c r="I79" s="15" t="s">
        <v>194</v>
      </c>
      <c r="J79" s="15" t="s">
        <v>154</v>
      </c>
      <c r="K79" s="11" t="s">
        <v>387</v>
      </c>
      <c r="L79" s="15" t="s">
        <v>671</v>
      </c>
      <c r="M79" s="11" t="n">
        <f aca="false">COUNTIF(Taches!$B$6:$B$250,$A79)</f>
        <v>1</v>
      </c>
      <c r="N79" s="11" t="n">
        <v>2</v>
      </c>
      <c r="O79" s="20" t="s">
        <v>104</v>
      </c>
      <c r="P79" s="21" t="s">
        <v>672</v>
      </c>
      <c r="Q79" s="21" t="s">
        <v>490</v>
      </c>
      <c r="R79" s="21" t="s">
        <v>673</v>
      </c>
    </row>
    <row r="80" customFormat="false" ht="23.85" hidden="false" customHeight="false" outlineLevel="0" collapsed="false">
      <c r="A80" s="22" t="s">
        <v>674</v>
      </c>
      <c r="B80" s="10" t="s">
        <v>47</v>
      </c>
      <c r="C80" s="15" t="s">
        <v>639</v>
      </c>
      <c r="D80" s="10" t="s">
        <v>675</v>
      </c>
      <c r="E80" s="11" t="s">
        <v>485</v>
      </c>
      <c r="F80" s="11" t="s">
        <v>225</v>
      </c>
      <c r="G80" s="15" t="s">
        <v>676</v>
      </c>
      <c r="H80" s="15" t="s">
        <v>677</v>
      </c>
      <c r="I80" s="15" t="s">
        <v>194</v>
      </c>
      <c r="J80" s="15" t="s">
        <v>154</v>
      </c>
      <c r="K80" s="11" t="s">
        <v>195</v>
      </c>
      <c r="L80" s="15" t="s">
        <v>678</v>
      </c>
      <c r="M80" s="11" t="n">
        <f aca="false">COUNTIF(Taches!$B$6:$B$250,$A80)</f>
        <v>1</v>
      </c>
      <c r="N80" s="11" t="n">
        <v>3</v>
      </c>
      <c r="O80" s="20" t="s">
        <v>104</v>
      </c>
      <c r="P80" s="21" t="s">
        <v>679</v>
      </c>
      <c r="Q80" s="21" t="s">
        <v>382</v>
      </c>
      <c r="R80" s="21" t="s">
        <v>673</v>
      </c>
    </row>
    <row r="81" customFormat="false" ht="23.85" hidden="false" customHeight="false" outlineLevel="0" collapsed="false">
      <c r="A81" s="22" t="s">
        <v>680</v>
      </c>
      <c r="B81" s="10" t="s">
        <v>47</v>
      </c>
      <c r="C81" s="15" t="s">
        <v>639</v>
      </c>
      <c r="D81" s="10" t="s">
        <v>681</v>
      </c>
      <c r="E81" s="11" t="s">
        <v>247</v>
      </c>
      <c r="F81" s="11" t="s">
        <v>192</v>
      </c>
      <c r="G81" s="15" t="s">
        <v>154</v>
      </c>
      <c r="H81" s="15" t="s">
        <v>682</v>
      </c>
      <c r="I81" s="15" t="s">
        <v>194</v>
      </c>
      <c r="J81" s="15" t="s">
        <v>154</v>
      </c>
      <c r="K81" s="11" t="s">
        <v>195</v>
      </c>
      <c r="L81" s="15" t="s">
        <v>683</v>
      </c>
      <c r="M81" s="11" t="n">
        <f aca="false">COUNTIF(Taches!$B$6:$B$250,$A81)</f>
        <v>1</v>
      </c>
      <c r="N81" s="11" t="n">
        <v>3</v>
      </c>
      <c r="O81" s="20" t="s">
        <v>104</v>
      </c>
      <c r="P81" s="21" t="s">
        <v>684</v>
      </c>
      <c r="Q81" s="21" t="s">
        <v>490</v>
      </c>
      <c r="R81" s="21" t="s">
        <v>154</v>
      </c>
    </row>
    <row r="82" customFormat="false" ht="35.05" hidden="false" customHeight="false" outlineLevel="0" collapsed="false">
      <c r="A82" s="17" t="s">
        <v>685</v>
      </c>
      <c r="B82" s="18" t="s">
        <v>47</v>
      </c>
      <c r="C82" s="19" t="s">
        <v>639</v>
      </c>
      <c r="D82" s="18" t="s">
        <v>686</v>
      </c>
      <c r="E82" s="16" t="s">
        <v>110</v>
      </c>
      <c r="F82" s="17" t="s">
        <v>97</v>
      </c>
      <c r="G82" s="19" t="s">
        <v>687</v>
      </c>
      <c r="H82" s="19" t="s">
        <v>688</v>
      </c>
      <c r="I82" s="19" t="s">
        <v>689</v>
      </c>
      <c r="J82" s="19" t="s">
        <v>690</v>
      </c>
      <c r="K82" s="16" t="s">
        <v>691</v>
      </c>
      <c r="L82" s="19" t="s">
        <v>692</v>
      </c>
      <c r="M82" s="16" t="n">
        <f aca="false">COUNTIF(Taches!$B$6:$B$250,$A82)</f>
        <v>2</v>
      </c>
      <c r="N82" s="16" t="n">
        <v>2</v>
      </c>
      <c r="O82" s="20" t="s">
        <v>104</v>
      </c>
      <c r="P82" s="21" t="s">
        <v>693</v>
      </c>
      <c r="Q82" s="21" t="s">
        <v>694</v>
      </c>
      <c r="R82" s="21" t="s">
        <v>695</v>
      </c>
    </row>
    <row r="83" customFormat="false" ht="23.85" hidden="false" customHeight="false" outlineLevel="0" collapsed="false">
      <c r="A83" s="22" t="s">
        <v>696</v>
      </c>
      <c r="B83" s="10" t="s">
        <v>47</v>
      </c>
      <c r="C83" s="15" t="s">
        <v>697</v>
      </c>
      <c r="D83" s="10" t="s">
        <v>698</v>
      </c>
      <c r="E83" s="11" t="s">
        <v>96</v>
      </c>
      <c r="F83" s="11" t="s">
        <v>699</v>
      </c>
      <c r="G83" s="15" t="s">
        <v>700</v>
      </c>
      <c r="H83" s="15" t="s">
        <v>701</v>
      </c>
      <c r="I83" s="15" t="s">
        <v>702</v>
      </c>
      <c r="J83" s="15" t="s">
        <v>703</v>
      </c>
      <c r="K83" s="11" t="s">
        <v>704</v>
      </c>
      <c r="L83" s="15" t="s">
        <v>705</v>
      </c>
      <c r="M83" s="11" t="n">
        <f aca="false">COUNTIF(Taches!$B$6:$B$250,$A83)</f>
        <v>2</v>
      </c>
      <c r="N83" s="11" t="n">
        <v>2</v>
      </c>
      <c r="O83" s="20" t="s">
        <v>104</v>
      </c>
      <c r="P83" s="21" t="s">
        <v>706</v>
      </c>
      <c r="Q83" s="21" t="s">
        <v>707</v>
      </c>
      <c r="R83" s="21" t="s">
        <v>154</v>
      </c>
    </row>
    <row r="84" customFormat="false" ht="23.85" hidden="false" customHeight="false" outlineLevel="0" collapsed="false">
      <c r="A84" s="22" t="s">
        <v>708</v>
      </c>
      <c r="B84" s="10" t="s">
        <v>47</v>
      </c>
      <c r="C84" s="15" t="s">
        <v>697</v>
      </c>
      <c r="D84" s="10" t="s">
        <v>709</v>
      </c>
      <c r="E84" s="11" t="s">
        <v>96</v>
      </c>
      <c r="F84" s="11" t="s">
        <v>699</v>
      </c>
      <c r="G84" s="15" t="s">
        <v>710</v>
      </c>
      <c r="H84" s="15" t="s">
        <v>711</v>
      </c>
      <c r="I84" s="15" t="s">
        <v>712</v>
      </c>
      <c r="J84" s="15" t="s">
        <v>154</v>
      </c>
      <c r="K84" s="11" t="s">
        <v>704</v>
      </c>
      <c r="L84" s="15" t="s">
        <v>713</v>
      </c>
      <c r="M84" s="11" t="n">
        <f aca="false">COUNTIF(Taches!$B$6:$B$250,$A84)</f>
        <v>1</v>
      </c>
      <c r="N84" s="11" t="n">
        <v>2</v>
      </c>
      <c r="O84" s="20" t="s">
        <v>104</v>
      </c>
      <c r="P84" s="21" t="s">
        <v>714</v>
      </c>
      <c r="Q84" s="21" t="s">
        <v>382</v>
      </c>
      <c r="R84" s="21" t="s">
        <v>154</v>
      </c>
    </row>
    <row r="85" customFormat="false" ht="23.85" hidden="false" customHeight="false" outlineLevel="0" collapsed="false">
      <c r="A85" s="22" t="s">
        <v>715</v>
      </c>
      <c r="B85" s="10" t="s">
        <v>47</v>
      </c>
      <c r="C85" s="15" t="s">
        <v>697</v>
      </c>
      <c r="D85" s="10" t="s">
        <v>716</v>
      </c>
      <c r="E85" s="11" t="s">
        <v>717</v>
      </c>
      <c r="F85" s="11" t="s">
        <v>192</v>
      </c>
      <c r="G85" s="15" t="s">
        <v>154</v>
      </c>
      <c r="H85" s="15" t="s">
        <v>718</v>
      </c>
      <c r="I85" s="15" t="s">
        <v>194</v>
      </c>
      <c r="J85" s="15" t="s">
        <v>154</v>
      </c>
      <c r="K85" s="11" t="s">
        <v>195</v>
      </c>
      <c r="L85" s="15" t="s">
        <v>719</v>
      </c>
      <c r="M85" s="11" t="n">
        <f aca="false">COUNTIF(Taches!$B$6:$B$250,$A85)</f>
        <v>1</v>
      </c>
      <c r="N85" s="11" t="n">
        <v>2</v>
      </c>
      <c r="O85" s="20" t="s">
        <v>75</v>
      </c>
      <c r="P85" s="21" t="s">
        <v>720</v>
      </c>
      <c r="Q85" s="21" t="s">
        <v>721</v>
      </c>
      <c r="R85" s="21" t="s">
        <v>722</v>
      </c>
    </row>
    <row r="86" customFormat="false" ht="23.85" hidden="false" customHeight="false" outlineLevel="0" collapsed="false">
      <c r="A86" s="22" t="s">
        <v>723</v>
      </c>
      <c r="B86" s="10" t="s">
        <v>47</v>
      </c>
      <c r="C86" s="15" t="s">
        <v>697</v>
      </c>
      <c r="D86" s="10" t="s">
        <v>724</v>
      </c>
      <c r="E86" s="11" t="s">
        <v>191</v>
      </c>
      <c r="F86" s="11" t="s">
        <v>192</v>
      </c>
      <c r="G86" s="15" t="s">
        <v>154</v>
      </c>
      <c r="H86" s="15" t="s">
        <v>725</v>
      </c>
      <c r="I86" s="15" t="s">
        <v>194</v>
      </c>
      <c r="J86" s="15" t="s">
        <v>154</v>
      </c>
      <c r="K86" s="11" t="s">
        <v>195</v>
      </c>
      <c r="L86" s="15" t="s">
        <v>726</v>
      </c>
      <c r="M86" s="11" t="n">
        <f aca="false">COUNTIF(Taches!$B$6:$B$250,$A86)</f>
        <v>1</v>
      </c>
      <c r="N86" s="11" t="n">
        <v>2</v>
      </c>
      <c r="O86" s="20" t="s">
        <v>104</v>
      </c>
      <c r="P86" s="21" t="s">
        <v>727</v>
      </c>
      <c r="Q86" s="21" t="s">
        <v>728</v>
      </c>
      <c r="R86" s="21" t="s">
        <v>154</v>
      </c>
    </row>
    <row r="87" customFormat="false" ht="23.85" hidden="false" customHeight="false" outlineLevel="0" collapsed="false">
      <c r="A87" s="22" t="s">
        <v>729</v>
      </c>
      <c r="B87" s="10" t="s">
        <v>47</v>
      </c>
      <c r="C87" s="15" t="s">
        <v>697</v>
      </c>
      <c r="D87" s="10" t="s">
        <v>730</v>
      </c>
      <c r="E87" s="11" t="s">
        <v>247</v>
      </c>
      <c r="F87" s="11" t="s">
        <v>192</v>
      </c>
      <c r="G87" s="15" t="s">
        <v>154</v>
      </c>
      <c r="H87" s="15" t="s">
        <v>731</v>
      </c>
      <c r="I87" s="15" t="s">
        <v>194</v>
      </c>
      <c r="J87" s="15" t="s">
        <v>154</v>
      </c>
      <c r="K87" s="11" t="s">
        <v>732</v>
      </c>
      <c r="L87" s="15" t="s">
        <v>733</v>
      </c>
      <c r="M87" s="11" t="n">
        <f aca="false">COUNTIF(Taches!$B$6:$B$250,$A87)</f>
        <v>1</v>
      </c>
      <c r="N87" s="11" t="n">
        <v>3</v>
      </c>
      <c r="O87" s="20" t="s">
        <v>104</v>
      </c>
      <c r="P87" s="21" t="s">
        <v>734</v>
      </c>
      <c r="Q87" s="21" t="s">
        <v>735</v>
      </c>
      <c r="R87" s="21" t="s">
        <v>154</v>
      </c>
    </row>
    <row r="88" customFormat="false" ht="35.05" hidden="false" customHeight="false" outlineLevel="0" collapsed="false">
      <c r="A88" s="22" t="s">
        <v>736</v>
      </c>
      <c r="B88" s="10" t="s">
        <v>46</v>
      </c>
      <c r="C88" s="15" t="s">
        <v>737</v>
      </c>
      <c r="D88" s="10" t="s">
        <v>738</v>
      </c>
      <c r="E88" s="11" t="s">
        <v>138</v>
      </c>
      <c r="F88" s="11" t="s">
        <v>739</v>
      </c>
      <c r="G88" s="15" t="s">
        <v>740</v>
      </c>
      <c r="H88" s="15" t="s">
        <v>741</v>
      </c>
      <c r="I88" s="15" t="s">
        <v>194</v>
      </c>
      <c r="J88" s="15" t="s">
        <v>742</v>
      </c>
      <c r="K88" s="11" t="s">
        <v>743</v>
      </c>
      <c r="L88" s="15" t="s">
        <v>744</v>
      </c>
      <c r="M88" s="11" t="n">
        <f aca="false">COUNTIF(Taches!$B$6:$B$250,$A88)</f>
        <v>1</v>
      </c>
      <c r="N88" s="11" t="n">
        <v>1</v>
      </c>
      <c r="O88" s="20" t="s">
        <v>75</v>
      </c>
      <c r="P88" s="21" t="s">
        <v>153</v>
      </c>
      <c r="Q88" s="21" t="s">
        <v>154</v>
      </c>
      <c r="R88" s="21" t="s">
        <v>745</v>
      </c>
    </row>
    <row r="89" customFormat="false" ht="23.85" hidden="false" customHeight="false" outlineLevel="0" collapsed="false">
      <c r="A89" s="22" t="s">
        <v>746</v>
      </c>
      <c r="B89" s="10" t="s">
        <v>46</v>
      </c>
      <c r="C89" s="15" t="s">
        <v>737</v>
      </c>
      <c r="D89" s="10" t="s">
        <v>747</v>
      </c>
      <c r="E89" s="11" t="s">
        <v>247</v>
      </c>
      <c r="F89" s="11" t="s">
        <v>192</v>
      </c>
      <c r="G89" s="15" t="s">
        <v>154</v>
      </c>
      <c r="H89" s="15" t="s">
        <v>748</v>
      </c>
      <c r="I89" s="15" t="s">
        <v>194</v>
      </c>
      <c r="J89" s="15" t="s">
        <v>154</v>
      </c>
      <c r="K89" s="11" t="s">
        <v>749</v>
      </c>
      <c r="L89" s="15" t="s">
        <v>750</v>
      </c>
      <c r="M89" s="11" t="n">
        <f aca="false">COUNTIF(Taches!$B$6:$B$250,$A89)</f>
        <v>2</v>
      </c>
      <c r="N89" s="11" t="n">
        <v>1</v>
      </c>
      <c r="O89" s="20" t="s">
        <v>104</v>
      </c>
      <c r="P89" s="21" t="s">
        <v>751</v>
      </c>
      <c r="Q89" s="21" t="s">
        <v>752</v>
      </c>
      <c r="R89" s="21" t="s">
        <v>753</v>
      </c>
    </row>
    <row r="90" customFormat="false" ht="23.85" hidden="false" customHeight="false" outlineLevel="0" collapsed="false">
      <c r="A90" s="22" t="s">
        <v>754</v>
      </c>
      <c r="B90" s="10" t="s">
        <v>46</v>
      </c>
      <c r="C90" s="15" t="s">
        <v>737</v>
      </c>
      <c r="D90" s="10" t="s">
        <v>755</v>
      </c>
      <c r="E90" s="11" t="s">
        <v>513</v>
      </c>
      <c r="F90" s="11" t="s">
        <v>192</v>
      </c>
      <c r="G90" s="15" t="s">
        <v>154</v>
      </c>
      <c r="H90" s="15" t="s">
        <v>756</v>
      </c>
      <c r="I90" s="15" t="s">
        <v>194</v>
      </c>
      <c r="J90" s="15" t="s">
        <v>154</v>
      </c>
      <c r="K90" s="11" t="s">
        <v>195</v>
      </c>
      <c r="L90" s="15" t="s">
        <v>757</v>
      </c>
      <c r="M90" s="11" t="n">
        <f aca="false">COUNTIF(Taches!$B$6:$B$250,$A90)</f>
        <v>3</v>
      </c>
      <c r="N90" s="11" t="n">
        <v>1</v>
      </c>
      <c r="O90" s="20" t="s">
        <v>104</v>
      </c>
      <c r="P90" s="21" t="s">
        <v>758</v>
      </c>
      <c r="Q90" s="21" t="s">
        <v>759</v>
      </c>
      <c r="R90" s="21" t="s">
        <v>154</v>
      </c>
    </row>
    <row r="91" customFormat="false" ht="23.85" hidden="false" customHeight="false" outlineLevel="0" collapsed="false">
      <c r="A91" s="22" t="s">
        <v>760</v>
      </c>
      <c r="B91" s="10" t="s">
        <v>46</v>
      </c>
      <c r="C91" s="15" t="s">
        <v>737</v>
      </c>
      <c r="D91" s="10" t="s">
        <v>761</v>
      </c>
      <c r="E91" s="11" t="s">
        <v>485</v>
      </c>
      <c r="F91" s="11" t="s">
        <v>192</v>
      </c>
      <c r="G91" s="15" t="s">
        <v>154</v>
      </c>
      <c r="H91" s="15" t="s">
        <v>762</v>
      </c>
      <c r="I91" s="15" t="s">
        <v>194</v>
      </c>
      <c r="J91" s="15" t="s">
        <v>154</v>
      </c>
      <c r="K91" s="11" t="s">
        <v>763</v>
      </c>
      <c r="L91" s="15" t="s">
        <v>764</v>
      </c>
      <c r="M91" s="11" t="n">
        <f aca="false">COUNTIF(Taches!$B$6:$B$250,$A91)</f>
        <v>1</v>
      </c>
      <c r="N91" s="11" t="n">
        <v>2</v>
      </c>
      <c r="O91" s="20" t="s">
        <v>104</v>
      </c>
      <c r="P91" s="21" t="s">
        <v>765</v>
      </c>
      <c r="Q91" s="21" t="s">
        <v>766</v>
      </c>
      <c r="R91" s="21" t="s">
        <v>154</v>
      </c>
    </row>
    <row r="92" customFormat="false" ht="35.05" hidden="false" customHeight="false" outlineLevel="0" collapsed="false">
      <c r="A92" s="22" t="s">
        <v>767</v>
      </c>
      <c r="B92" s="10" t="s">
        <v>46</v>
      </c>
      <c r="C92" s="15" t="s">
        <v>737</v>
      </c>
      <c r="D92" s="10" t="s">
        <v>768</v>
      </c>
      <c r="E92" s="11" t="s">
        <v>247</v>
      </c>
      <c r="F92" s="11" t="s">
        <v>179</v>
      </c>
      <c r="G92" s="15" t="s">
        <v>185</v>
      </c>
      <c r="H92" s="15" t="s">
        <v>170</v>
      </c>
      <c r="I92" s="15" t="s">
        <v>112</v>
      </c>
      <c r="J92" s="15" t="s">
        <v>113</v>
      </c>
      <c r="K92" s="11" t="s">
        <v>131</v>
      </c>
      <c r="L92" s="15" t="s">
        <v>769</v>
      </c>
      <c r="M92" s="11" t="n">
        <f aca="false">COUNTIF(Taches!$B$6:$B$250,$A92)</f>
        <v>1</v>
      </c>
      <c r="N92" s="11" t="n">
        <v>2</v>
      </c>
      <c r="O92" s="20" t="s">
        <v>104</v>
      </c>
      <c r="P92" s="21" t="s">
        <v>770</v>
      </c>
      <c r="Q92" s="21" t="s">
        <v>174</v>
      </c>
      <c r="R92" s="21" t="s">
        <v>175</v>
      </c>
    </row>
    <row r="93" customFormat="false" ht="23.85" hidden="false" customHeight="false" outlineLevel="0" collapsed="false">
      <c r="A93" s="22" t="s">
        <v>771</v>
      </c>
      <c r="B93" s="10" t="s">
        <v>46</v>
      </c>
      <c r="C93" s="15" t="s">
        <v>737</v>
      </c>
      <c r="D93" s="10" t="s">
        <v>772</v>
      </c>
      <c r="E93" s="11" t="s">
        <v>485</v>
      </c>
      <c r="F93" s="11" t="s">
        <v>192</v>
      </c>
      <c r="G93" s="15" t="s">
        <v>154</v>
      </c>
      <c r="H93" s="15" t="s">
        <v>773</v>
      </c>
      <c r="I93" s="15" t="s">
        <v>194</v>
      </c>
      <c r="J93" s="15" t="s">
        <v>154</v>
      </c>
      <c r="K93" s="11" t="s">
        <v>774</v>
      </c>
      <c r="L93" s="15" t="s">
        <v>775</v>
      </c>
      <c r="M93" s="11" t="n">
        <f aca="false">COUNTIF(Taches!$B$6:$B$250,$A93)</f>
        <v>1</v>
      </c>
      <c r="N93" s="11" t="n">
        <v>3</v>
      </c>
      <c r="O93" s="20" t="s">
        <v>104</v>
      </c>
      <c r="P93" s="21" t="s">
        <v>776</v>
      </c>
      <c r="Q93" s="21" t="s">
        <v>382</v>
      </c>
      <c r="R93" s="21" t="s">
        <v>154</v>
      </c>
    </row>
    <row r="94" customFormat="false" ht="23.85" hidden="false" customHeight="false" outlineLevel="0" collapsed="false">
      <c r="A94" s="17" t="s">
        <v>777</v>
      </c>
      <c r="B94" s="18" t="s">
        <v>46</v>
      </c>
      <c r="C94" s="19" t="s">
        <v>737</v>
      </c>
      <c r="D94" s="18" t="s">
        <v>778</v>
      </c>
      <c r="E94" s="16" t="s">
        <v>302</v>
      </c>
      <c r="F94" s="17" t="s">
        <v>97</v>
      </c>
      <c r="G94" s="19" t="s">
        <v>779</v>
      </c>
      <c r="H94" s="19" t="s">
        <v>780</v>
      </c>
      <c r="I94" s="19" t="s">
        <v>194</v>
      </c>
      <c r="J94" s="19" t="s">
        <v>781</v>
      </c>
      <c r="K94" s="16" t="s">
        <v>763</v>
      </c>
      <c r="L94" s="19" t="s">
        <v>782</v>
      </c>
      <c r="M94" s="16" t="n">
        <f aca="false">COUNTIF(Taches!$B$6:$B$250,$A94)</f>
        <v>1</v>
      </c>
      <c r="N94" s="16" t="n">
        <v>1</v>
      </c>
      <c r="O94" s="20" t="s">
        <v>104</v>
      </c>
      <c r="P94" s="21" t="s">
        <v>603</v>
      </c>
      <c r="Q94" s="21" t="s">
        <v>783</v>
      </c>
      <c r="R94" s="21" t="s">
        <v>784</v>
      </c>
    </row>
    <row r="95" customFormat="false" ht="23.85" hidden="false" customHeight="false" outlineLevel="0" collapsed="false">
      <c r="A95" s="22" t="s">
        <v>785</v>
      </c>
      <c r="B95" s="10" t="s">
        <v>46</v>
      </c>
      <c r="C95" s="15" t="s">
        <v>737</v>
      </c>
      <c r="D95" s="10" t="s">
        <v>786</v>
      </c>
      <c r="E95" s="11" t="s">
        <v>247</v>
      </c>
      <c r="F95" s="11" t="s">
        <v>192</v>
      </c>
      <c r="G95" s="15" t="s">
        <v>154</v>
      </c>
      <c r="H95" s="15" t="s">
        <v>787</v>
      </c>
      <c r="I95" s="15" t="s">
        <v>194</v>
      </c>
      <c r="J95" s="15" t="s">
        <v>154</v>
      </c>
      <c r="K95" s="11" t="s">
        <v>788</v>
      </c>
      <c r="L95" s="15" t="s">
        <v>789</v>
      </c>
      <c r="M95" s="11" t="n">
        <f aca="false">COUNTIF(Taches!$B$6:$B$250,$A95)</f>
        <v>1</v>
      </c>
      <c r="N95" s="11" t="n">
        <v>2</v>
      </c>
      <c r="O95" s="20" t="s">
        <v>104</v>
      </c>
      <c r="P95" s="21" t="s">
        <v>790</v>
      </c>
      <c r="Q95" s="21" t="s">
        <v>382</v>
      </c>
      <c r="R95" s="21" t="s">
        <v>154</v>
      </c>
    </row>
    <row r="96" customFormat="false" ht="23.85" hidden="false" customHeight="false" outlineLevel="0" collapsed="false">
      <c r="A96" s="22" t="s">
        <v>791</v>
      </c>
      <c r="B96" s="10" t="s">
        <v>46</v>
      </c>
      <c r="C96" s="15" t="s">
        <v>792</v>
      </c>
      <c r="D96" s="10" t="s">
        <v>793</v>
      </c>
      <c r="E96" s="11" t="s">
        <v>513</v>
      </c>
      <c r="F96" s="11" t="s">
        <v>192</v>
      </c>
      <c r="G96" s="15" t="s">
        <v>154</v>
      </c>
      <c r="H96" s="15" t="s">
        <v>794</v>
      </c>
      <c r="I96" s="15" t="s">
        <v>194</v>
      </c>
      <c r="J96" s="15" t="s">
        <v>154</v>
      </c>
      <c r="K96" s="11" t="s">
        <v>795</v>
      </c>
      <c r="L96" s="15" t="s">
        <v>796</v>
      </c>
      <c r="M96" s="11" t="n">
        <f aca="false">COUNTIF(Taches!$B$6:$B$250,$A96)</f>
        <v>2</v>
      </c>
      <c r="N96" s="11" t="n">
        <v>2</v>
      </c>
      <c r="O96" s="20" t="s">
        <v>104</v>
      </c>
      <c r="P96" s="21" t="s">
        <v>797</v>
      </c>
      <c r="Q96" s="21" t="s">
        <v>798</v>
      </c>
      <c r="R96" s="21" t="s">
        <v>799</v>
      </c>
    </row>
    <row r="97" customFormat="false" ht="23.85" hidden="false" customHeight="false" outlineLevel="0" collapsed="false">
      <c r="A97" s="22" t="s">
        <v>800</v>
      </c>
      <c r="B97" s="10" t="s">
        <v>46</v>
      </c>
      <c r="C97" s="15" t="s">
        <v>792</v>
      </c>
      <c r="D97" s="10" t="s">
        <v>801</v>
      </c>
      <c r="E97" s="11" t="s">
        <v>302</v>
      </c>
      <c r="F97" s="11" t="s">
        <v>192</v>
      </c>
      <c r="G97" s="15" t="s">
        <v>154</v>
      </c>
      <c r="H97" s="15" t="s">
        <v>802</v>
      </c>
      <c r="I97" s="15" t="s">
        <v>194</v>
      </c>
      <c r="J97" s="15" t="s">
        <v>154</v>
      </c>
      <c r="K97" s="11" t="s">
        <v>338</v>
      </c>
      <c r="L97" s="15" t="s">
        <v>803</v>
      </c>
      <c r="M97" s="11" t="n">
        <f aca="false">COUNTIF(Taches!$B$6:$B$250,$A97)</f>
        <v>1</v>
      </c>
      <c r="N97" s="11" t="n">
        <v>2</v>
      </c>
      <c r="O97" s="20" t="s">
        <v>104</v>
      </c>
      <c r="P97" s="21" t="s">
        <v>804</v>
      </c>
      <c r="Q97" s="21" t="s">
        <v>382</v>
      </c>
      <c r="R97" s="21" t="s">
        <v>673</v>
      </c>
    </row>
    <row r="98" customFormat="false" ht="23.85" hidden="false" customHeight="false" outlineLevel="0" collapsed="false">
      <c r="A98" s="22" t="s">
        <v>805</v>
      </c>
      <c r="B98" s="10" t="s">
        <v>46</v>
      </c>
      <c r="C98" s="15" t="s">
        <v>792</v>
      </c>
      <c r="D98" s="10" t="s">
        <v>806</v>
      </c>
      <c r="E98" s="11" t="s">
        <v>513</v>
      </c>
      <c r="F98" s="11" t="s">
        <v>192</v>
      </c>
      <c r="G98" s="15" t="s">
        <v>154</v>
      </c>
      <c r="H98" s="15" t="s">
        <v>807</v>
      </c>
      <c r="I98" s="15" t="s">
        <v>194</v>
      </c>
      <c r="J98" s="15" t="s">
        <v>154</v>
      </c>
      <c r="K98" s="11" t="s">
        <v>338</v>
      </c>
      <c r="L98" s="15" t="s">
        <v>808</v>
      </c>
      <c r="M98" s="11" t="n">
        <f aca="false">COUNTIF(Taches!$B$6:$B$250,$A98)</f>
        <v>1</v>
      </c>
      <c r="N98" s="11" t="n">
        <v>3</v>
      </c>
      <c r="O98" s="20" t="s">
        <v>104</v>
      </c>
      <c r="P98" s="21" t="s">
        <v>809</v>
      </c>
      <c r="Q98" s="21" t="s">
        <v>490</v>
      </c>
      <c r="R98" s="21" t="s">
        <v>154</v>
      </c>
    </row>
    <row r="99" customFormat="false" ht="23.85" hidden="false" customHeight="false" outlineLevel="0" collapsed="false">
      <c r="A99" s="22" t="s">
        <v>810</v>
      </c>
      <c r="B99" s="10" t="s">
        <v>46</v>
      </c>
      <c r="C99" s="15" t="s">
        <v>792</v>
      </c>
      <c r="D99" s="10" t="s">
        <v>811</v>
      </c>
      <c r="E99" s="11" t="s">
        <v>485</v>
      </c>
      <c r="F99" s="11" t="s">
        <v>192</v>
      </c>
      <c r="G99" s="15" t="s">
        <v>154</v>
      </c>
      <c r="H99" s="15" t="s">
        <v>812</v>
      </c>
      <c r="I99" s="15" t="s">
        <v>194</v>
      </c>
      <c r="J99" s="15" t="s">
        <v>154</v>
      </c>
      <c r="K99" s="11" t="s">
        <v>452</v>
      </c>
      <c r="L99" s="15" t="s">
        <v>813</v>
      </c>
      <c r="M99" s="11" t="n">
        <f aca="false">COUNTIF(Taches!$B$6:$B$250,$A99)</f>
        <v>1</v>
      </c>
      <c r="N99" s="11" t="n">
        <v>3</v>
      </c>
      <c r="O99" s="20" t="s">
        <v>104</v>
      </c>
      <c r="P99" s="21" t="s">
        <v>814</v>
      </c>
      <c r="Q99" s="21" t="s">
        <v>815</v>
      </c>
      <c r="R99" s="21" t="s">
        <v>154</v>
      </c>
    </row>
    <row r="100" customFormat="false" ht="23.85" hidden="false" customHeight="false" outlineLevel="0" collapsed="false">
      <c r="A100" s="22" t="s">
        <v>816</v>
      </c>
      <c r="B100" s="10" t="s">
        <v>46</v>
      </c>
      <c r="C100" s="15" t="s">
        <v>792</v>
      </c>
      <c r="D100" s="10" t="s">
        <v>817</v>
      </c>
      <c r="E100" s="11" t="s">
        <v>247</v>
      </c>
      <c r="F100" s="11" t="s">
        <v>192</v>
      </c>
      <c r="G100" s="15" t="s">
        <v>154</v>
      </c>
      <c r="H100" s="15" t="s">
        <v>818</v>
      </c>
      <c r="I100" s="15" t="s">
        <v>194</v>
      </c>
      <c r="J100" s="15" t="s">
        <v>154</v>
      </c>
      <c r="K100" s="11" t="s">
        <v>195</v>
      </c>
      <c r="L100" s="15" t="s">
        <v>819</v>
      </c>
      <c r="M100" s="11" t="n">
        <f aca="false">COUNTIF(Taches!$B$6:$B$250,$A100)</f>
        <v>2</v>
      </c>
      <c r="N100" s="11" t="n">
        <v>2</v>
      </c>
      <c r="O100" s="20" t="s">
        <v>104</v>
      </c>
      <c r="P100" s="21" t="s">
        <v>820</v>
      </c>
      <c r="Q100" s="21" t="s">
        <v>490</v>
      </c>
      <c r="R100" s="21" t="s">
        <v>154</v>
      </c>
    </row>
    <row r="101" customFormat="false" ht="23.85" hidden="false" customHeight="false" outlineLevel="0" collapsed="false">
      <c r="A101" s="22" t="s">
        <v>821</v>
      </c>
      <c r="B101" s="10" t="s">
        <v>46</v>
      </c>
      <c r="C101" s="15" t="s">
        <v>792</v>
      </c>
      <c r="D101" s="10" t="s">
        <v>822</v>
      </c>
      <c r="E101" s="11" t="s">
        <v>513</v>
      </c>
      <c r="F101" s="11" t="s">
        <v>192</v>
      </c>
      <c r="G101" s="15" t="s">
        <v>154</v>
      </c>
      <c r="H101" s="15" t="s">
        <v>823</v>
      </c>
      <c r="I101" s="15" t="s">
        <v>194</v>
      </c>
      <c r="J101" s="15" t="s">
        <v>154</v>
      </c>
      <c r="K101" s="11" t="s">
        <v>763</v>
      </c>
      <c r="L101" s="15" t="s">
        <v>824</v>
      </c>
      <c r="M101" s="11" t="n">
        <f aca="false">COUNTIF(Taches!$B$6:$B$250,$A101)</f>
        <v>1</v>
      </c>
      <c r="N101" s="11" t="n">
        <v>3</v>
      </c>
      <c r="O101" s="20" t="s">
        <v>104</v>
      </c>
      <c r="P101" s="21" t="s">
        <v>825</v>
      </c>
      <c r="Q101" s="21" t="s">
        <v>428</v>
      </c>
      <c r="R101" s="21" t="s">
        <v>826</v>
      </c>
    </row>
    <row r="102" customFormat="false" ht="15" hidden="false" customHeight="false" outlineLevel="0" collapsed="false">
      <c r="A102" s="22" t="s">
        <v>827</v>
      </c>
      <c r="B102" s="10" t="s">
        <v>46</v>
      </c>
      <c r="C102" s="15" t="s">
        <v>792</v>
      </c>
      <c r="D102" s="10" t="s">
        <v>828</v>
      </c>
      <c r="E102" s="11" t="s">
        <v>717</v>
      </c>
      <c r="F102" s="11" t="s">
        <v>192</v>
      </c>
      <c r="G102" s="15" t="s">
        <v>154</v>
      </c>
      <c r="H102" s="15" t="s">
        <v>829</v>
      </c>
      <c r="I102" s="15" t="s">
        <v>194</v>
      </c>
      <c r="J102" s="15" t="s">
        <v>154</v>
      </c>
      <c r="K102" s="11" t="s">
        <v>830</v>
      </c>
      <c r="L102" s="15" t="s">
        <v>831</v>
      </c>
      <c r="M102" s="11" t="n">
        <f aca="false">COUNTIF(Taches!$B$6:$B$250,$A102)</f>
        <v>1</v>
      </c>
      <c r="N102" s="11" t="n">
        <v>3</v>
      </c>
      <c r="O102" s="20" t="s">
        <v>76</v>
      </c>
      <c r="P102" s="21" t="s">
        <v>153</v>
      </c>
      <c r="Q102" s="21" t="s">
        <v>154</v>
      </c>
      <c r="R102" s="21" t="s">
        <v>154</v>
      </c>
    </row>
    <row r="103" customFormat="false" ht="23.85" hidden="false" customHeight="false" outlineLevel="0" collapsed="false">
      <c r="A103" s="22" t="s">
        <v>832</v>
      </c>
      <c r="B103" s="10" t="s">
        <v>47</v>
      </c>
      <c r="C103" s="15" t="s">
        <v>833</v>
      </c>
      <c r="D103" s="10" t="s">
        <v>834</v>
      </c>
      <c r="E103" s="11" t="s">
        <v>835</v>
      </c>
      <c r="F103" s="11" t="s">
        <v>192</v>
      </c>
      <c r="G103" s="15" t="s">
        <v>154</v>
      </c>
      <c r="H103" s="15" t="s">
        <v>836</v>
      </c>
      <c r="I103" s="15" t="s">
        <v>202</v>
      </c>
      <c r="J103" s="15" t="s">
        <v>583</v>
      </c>
      <c r="K103" s="11" t="s">
        <v>837</v>
      </c>
      <c r="L103" s="15" t="s">
        <v>838</v>
      </c>
      <c r="M103" s="11" t="n">
        <f aca="false">COUNTIF(Taches!$B$6:$B$250,$A103)</f>
        <v>2</v>
      </c>
      <c r="N103" s="11" t="n">
        <v>1</v>
      </c>
      <c r="O103" s="20" t="s">
        <v>75</v>
      </c>
      <c r="P103" s="21" t="s">
        <v>153</v>
      </c>
      <c r="Q103" s="21" t="s">
        <v>154</v>
      </c>
      <c r="R103" s="21" t="s">
        <v>839</v>
      </c>
    </row>
    <row r="104" customFormat="false" ht="23.85" hidden="false" customHeight="false" outlineLevel="0" collapsed="false">
      <c r="A104" s="22" t="s">
        <v>840</v>
      </c>
      <c r="B104" s="10" t="s">
        <v>47</v>
      </c>
      <c r="C104" s="15" t="s">
        <v>833</v>
      </c>
      <c r="D104" s="10" t="s">
        <v>841</v>
      </c>
      <c r="E104" s="11" t="s">
        <v>191</v>
      </c>
      <c r="F104" s="11" t="s">
        <v>192</v>
      </c>
      <c r="G104" s="15" t="s">
        <v>154</v>
      </c>
      <c r="H104" s="15" t="s">
        <v>842</v>
      </c>
      <c r="I104" s="15" t="s">
        <v>515</v>
      </c>
      <c r="J104" s="15" t="s">
        <v>154</v>
      </c>
      <c r="K104" s="11" t="s">
        <v>843</v>
      </c>
      <c r="L104" s="15" t="s">
        <v>844</v>
      </c>
      <c r="M104" s="11" t="n">
        <f aca="false">COUNTIF(Taches!$B$6:$B$250,$A104)</f>
        <v>1</v>
      </c>
      <c r="N104" s="11" t="n">
        <v>1</v>
      </c>
      <c r="O104" s="20" t="s">
        <v>76</v>
      </c>
      <c r="P104" s="21" t="s">
        <v>153</v>
      </c>
      <c r="Q104" s="21" t="s">
        <v>154</v>
      </c>
      <c r="R104" s="21" t="s">
        <v>154</v>
      </c>
    </row>
    <row r="105" customFormat="false" ht="23.85" hidden="false" customHeight="false" outlineLevel="0" collapsed="false">
      <c r="A105" s="22" t="s">
        <v>845</v>
      </c>
      <c r="B105" s="10" t="s">
        <v>47</v>
      </c>
      <c r="C105" s="15" t="s">
        <v>833</v>
      </c>
      <c r="D105" s="10" t="s">
        <v>846</v>
      </c>
      <c r="E105" s="11" t="s">
        <v>138</v>
      </c>
      <c r="F105" s="11" t="s">
        <v>225</v>
      </c>
      <c r="G105" s="15" t="s">
        <v>847</v>
      </c>
      <c r="H105" s="15" t="s">
        <v>848</v>
      </c>
      <c r="I105" s="15" t="s">
        <v>202</v>
      </c>
      <c r="J105" s="15" t="s">
        <v>849</v>
      </c>
      <c r="K105" s="11" t="s">
        <v>154</v>
      </c>
      <c r="L105" s="15" t="s">
        <v>850</v>
      </c>
      <c r="M105" s="11" t="n">
        <f aca="false">COUNTIF(Taches!$B$6:$B$250,$A105)</f>
        <v>1</v>
      </c>
      <c r="N105" s="11" t="n">
        <v>2</v>
      </c>
      <c r="O105" s="20" t="s">
        <v>75</v>
      </c>
      <c r="P105" s="21" t="s">
        <v>153</v>
      </c>
      <c r="Q105" s="21" t="s">
        <v>154</v>
      </c>
      <c r="R105" s="21" t="s">
        <v>851</v>
      </c>
    </row>
    <row r="106" customFormat="false" ht="15" hidden="false" customHeight="false" outlineLevel="0" collapsed="false">
      <c r="A106" s="22" t="s">
        <v>852</v>
      </c>
      <c r="B106" s="10" t="s">
        <v>47</v>
      </c>
      <c r="C106" s="15" t="s">
        <v>833</v>
      </c>
      <c r="D106" s="10" t="s">
        <v>853</v>
      </c>
      <c r="E106" s="11" t="s">
        <v>717</v>
      </c>
      <c r="F106" s="11" t="s">
        <v>192</v>
      </c>
      <c r="G106" s="15" t="s">
        <v>154</v>
      </c>
      <c r="H106" s="15" t="s">
        <v>854</v>
      </c>
      <c r="I106" s="15" t="s">
        <v>194</v>
      </c>
      <c r="J106" s="15" t="s">
        <v>154</v>
      </c>
      <c r="K106" s="11" t="s">
        <v>855</v>
      </c>
      <c r="L106" s="15" t="s">
        <v>856</v>
      </c>
      <c r="M106" s="11" t="n">
        <f aca="false">COUNTIF(Taches!$B$6:$B$250,$A106)</f>
        <v>1</v>
      </c>
      <c r="N106" s="11" t="n">
        <v>2</v>
      </c>
      <c r="O106" s="20" t="s">
        <v>76</v>
      </c>
      <c r="P106" s="21" t="s">
        <v>153</v>
      </c>
      <c r="Q106" s="21" t="s">
        <v>154</v>
      </c>
      <c r="R106" s="21" t="s">
        <v>154</v>
      </c>
    </row>
    <row r="107" customFormat="false" ht="23.85" hidden="false" customHeight="false" outlineLevel="0" collapsed="false">
      <c r="A107" s="22" t="s">
        <v>857</v>
      </c>
      <c r="B107" s="10" t="s">
        <v>47</v>
      </c>
      <c r="C107" s="15" t="s">
        <v>833</v>
      </c>
      <c r="D107" s="10" t="s">
        <v>858</v>
      </c>
      <c r="E107" s="11" t="s">
        <v>859</v>
      </c>
      <c r="F107" s="11" t="s">
        <v>192</v>
      </c>
      <c r="G107" s="15" t="s">
        <v>154</v>
      </c>
      <c r="H107" s="15" t="s">
        <v>860</v>
      </c>
      <c r="I107" s="15" t="s">
        <v>202</v>
      </c>
      <c r="J107" s="15" t="s">
        <v>861</v>
      </c>
      <c r="K107" s="11" t="s">
        <v>313</v>
      </c>
      <c r="L107" s="15" t="s">
        <v>862</v>
      </c>
      <c r="M107" s="11" t="n">
        <f aca="false">COUNTIF(Taches!$B$6:$B$250,$A107)</f>
        <v>1</v>
      </c>
      <c r="N107" s="11" t="n">
        <v>2</v>
      </c>
      <c r="O107" s="20" t="s">
        <v>75</v>
      </c>
      <c r="P107" s="21" t="s">
        <v>153</v>
      </c>
      <c r="Q107" s="21" t="s">
        <v>154</v>
      </c>
      <c r="R107" s="21" t="s">
        <v>863</v>
      </c>
    </row>
    <row r="108" customFormat="false" ht="23.85" hidden="false" customHeight="false" outlineLevel="0" collapsed="false">
      <c r="A108" s="22" t="s">
        <v>864</v>
      </c>
      <c r="B108" s="10" t="s">
        <v>47</v>
      </c>
      <c r="C108" s="15" t="s">
        <v>833</v>
      </c>
      <c r="D108" s="10" t="s">
        <v>865</v>
      </c>
      <c r="E108" s="11" t="s">
        <v>138</v>
      </c>
      <c r="F108" s="11" t="s">
        <v>192</v>
      </c>
      <c r="G108" s="15" t="s">
        <v>154</v>
      </c>
      <c r="H108" s="15" t="s">
        <v>866</v>
      </c>
      <c r="I108" s="15" t="s">
        <v>194</v>
      </c>
      <c r="J108" s="15" t="s">
        <v>154</v>
      </c>
      <c r="K108" s="11" t="s">
        <v>195</v>
      </c>
      <c r="L108" s="15" t="s">
        <v>867</v>
      </c>
      <c r="M108" s="11" t="n">
        <f aca="false">COUNTIF(Taches!$B$6:$B$250,$A108)</f>
        <v>1</v>
      </c>
      <c r="N108" s="11" t="n">
        <v>3</v>
      </c>
      <c r="O108" s="20" t="s">
        <v>76</v>
      </c>
      <c r="P108" s="21" t="s">
        <v>153</v>
      </c>
      <c r="Q108" s="21" t="s">
        <v>154</v>
      </c>
      <c r="R108" s="21" t="s">
        <v>154</v>
      </c>
    </row>
    <row r="109" customFormat="false" ht="23.85" hidden="false" customHeight="false" outlineLevel="0" collapsed="false">
      <c r="A109" s="22" t="s">
        <v>868</v>
      </c>
      <c r="B109" s="10" t="s">
        <v>47</v>
      </c>
      <c r="C109" s="15" t="s">
        <v>833</v>
      </c>
      <c r="D109" s="10" t="s">
        <v>869</v>
      </c>
      <c r="E109" s="11" t="s">
        <v>154</v>
      </c>
      <c r="F109" s="11" t="s">
        <v>192</v>
      </c>
      <c r="G109" s="15" t="s">
        <v>154</v>
      </c>
      <c r="H109" s="15" t="s">
        <v>870</v>
      </c>
      <c r="I109" s="15" t="s">
        <v>194</v>
      </c>
      <c r="J109" s="15" t="s">
        <v>154</v>
      </c>
      <c r="K109" s="11" t="s">
        <v>195</v>
      </c>
      <c r="L109" s="15" t="s">
        <v>871</v>
      </c>
      <c r="M109" s="11" t="n">
        <f aca="false">COUNTIF(Taches!$B$6:$B$250,$A109)</f>
        <v>1</v>
      </c>
      <c r="N109" s="11" t="n">
        <v>3</v>
      </c>
      <c r="O109" s="20" t="s">
        <v>76</v>
      </c>
      <c r="P109" s="21" t="s">
        <v>153</v>
      </c>
      <c r="Q109" s="21" t="s">
        <v>154</v>
      </c>
      <c r="R109" s="21" t="s">
        <v>154</v>
      </c>
    </row>
    <row r="110" customFormat="false" ht="35.05" hidden="false" customHeight="false" outlineLevel="0" collapsed="false">
      <c r="A110" s="17" t="s">
        <v>872</v>
      </c>
      <c r="B110" s="18" t="s">
        <v>49</v>
      </c>
      <c r="C110" s="19" t="s">
        <v>49</v>
      </c>
      <c r="D110" s="18" t="s">
        <v>873</v>
      </c>
      <c r="E110" s="16" t="s">
        <v>178</v>
      </c>
      <c r="F110" s="17" t="s">
        <v>97</v>
      </c>
      <c r="G110" s="19" t="s">
        <v>874</v>
      </c>
      <c r="H110" s="19" t="s">
        <v>875</v>
      </c>
      <c r="I110" s="19" t="s">
        <v>876</v>
      </c>
      <c r="J110" s="19" t="s">
        <v>877</v>
      </c>
      <c r="K110" s="16" t="s">
        <v>878</v>
      </c>
      <c r="L110" s="19" t="s">
        <v>879</v>
      </c>
      <c r="M110" s="16" t="n">
        <f aca="false">COUNTIF(Taches!$B$6:$B$250,$A110)</f>
        <v>1</v>
      </c>
      <c r="N110" s="16" t="n">
        <v>1</v>
      </c>
      <c r="O110" s="20" t="s">
        <v>75</v>
      </c>
      <c r="P110" s="21" t="s">
        <v>880</v>
      </c>
      <c r="Q110" s="21" t="s">
        <v>881</v>
      </c>
      <c r="R110" s="21" t="s">
        <v>882</v>
      </c>
    </row>
    <row r="111" customFormat="false" ht="35.05" hidden="false" customHeight="false" outlineLevel="0" collapsed="false">
      <c r="A111" s="17" t="s">
        <v>883</v>
      </c>
      <c r="B111" s="18" t="s">
        <v>49</v>
      </c>
      <c r="C111" s="19" t="s">
        <v>49</v>
      </c>
      <c r="D111" s="18" t="s">
        <v>884</v>
      </c>
      <c r="E111" s="16" t="s">
        <v>247</v>
      </c>
      <c r="F111" s="17" t="s">
        <v>97</v>
      </c>
      <c r="G111" s="19" t="s">
        <v>885</v>
      </c>
      <c r="H111" s="19" t="s">
        <v>886</v>
      </c>
      <c r="I111" s="19" t="s">
        <v>887</v>
      </c>
      <c r="J111" s="19" t="s">
        <v>877</v>
      </c>
      <c r="K111" s="16" t="s">
        <v>888</v>
      </c>
      <c r="L111" s="19" t="s">
        <v>889</v>
      </c>
      <c r="M111" s="16" t="n">
        <f aca="false">COUNTIF(Taches!$B$6:$B$250,$A111)</f>
        <v>1</v>
      </c>
      <c r="N111" s="16" t="n">
        <v>2</v>
      </c>
      <c r="O111" s="20" t="s">
        <v>75</v>
      </c>
      <c r="P111" s="21" t="s">
        <v>880</v>
      </c>
      <c r="Q111" s="21" t="s">
        <v>881</v>
      </c>
      <c r="R111" s="21" t="s">
        <v>890</v>
      </c>
    </row>
    <row r="112" customFormat="false" ht="35.05" hidden="false" customHeight="false" outlineLevel="0" collapsed="false">
      <c r="A112" s="22" t="s">
        <v>891</v>
      </c>
      <c r="B112" s="10" t="s">
        <v>49</v>
      </c>
      <c r="C112" s="15" t="s">
        <v>49</v>
      </c>
      <c r="D112" s="10" t="s">
        <v>892</v>
      </c>
      <c r="E112" s="11" t="s">
        <v>893</v>
      </c>
      <c r="F112" s="11" t="s">
        <v>192</v>
      </c>
      <c r="G112" s="15" t="s">
        <v>154</v>
      </c>
      <c r="H112" s="15" t="s">
        <v>894</v>
      </c>
      <c r="I112" s="15" t="s">
        <v>895</v>
      </c>
      <c r="J112" s="15" t="s">
        <v>896</v>
      </c>
      <c r="K112" s="11" t="s">
        <v>897</v>
      </c>
      <c r="L112" s="15" t="s">
        <v>898</v>
      </c>
      <c r="M112" s="11" t="n">
        <f aca="false">COUNTIF(Taches!$B$6:$B$250,$A112)</f>
        <v>1</v>
      </c>
      <c r="N112" s="11" t="n">
        <v>3</v>
      </c>
      <c r="O112" s="20" t="s">
        <v>104</v>
      </c>
      <c r="P112" s="21" t="s">
        <v>899</v>
      </c>
      <c r="Q112" s="21" t="s">
        <v>900</v>
      </c>
      <c r="R112" s="21" t="s">
        <v>901</v>
      </c>
    </row>
  </sheetData>
  <autoFilter ref="A5:R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1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18"/>
    <col collapsed="false" customWidth="true" hidden="false" outlineLevel="0" max="5" min="5" style="0" width="38"/>
    <col collapsed="false" customWidth="true" hidden="false" outlineLevel="0" max="6" min="6" style="0" width="10"/>
    <col collapsed="false" customWidth="true" hidden="false" outlineLevel="0" max="7" min="7" style="0" width="12"/>
    <col collapsed="false" customWidth="true" hidden="false" outlineLevel="0" max="8" min="8" style="0" width="34"/>
    <col collapsed="false" customWidth="true" hidden="false" outlineLevel="0" max="9" min="9" style="0" width="28"/>
    <col collapsed="false" customWidth="true" hidden="false" outlineLevel="0" max="10" min="10" style="0" width="10"/>
    <col collapsed="false" customWidth="true" hidden="false" outlineLevel="0" max="11" min="11" style="0" width="32"/>
    <col collapsed="false" customWidth="true" hidden="false" outlineLevel="0" max="12" min="12" style="0" width="68"/>
    <col collapsed="false" customWidth="true" hidden="false" outlineLevel="0" max="13" min="13" style="0" width="46"/>
    <col collapsed="false" customWidth="true" hidden="false" outlineLevel="0" max="14" min="14" style="0" width="12"/>
    <col collapsed="false" customWidth="true" hidden="false" outlineLevel="0" max="15" min="15" style="0" width="11"/>
    <col collapsed="false" customWidth="true" hidden="false" outlineLevel="0" max="16" min="16" style="0" width="14"/>
    <col collapsed="false" customWidth="true" hidden="false" outlineLevel="0" max="17" min="17" style="0" width="11"/>
  </cols>
  <sheetData>
    <row r="2" customFormat="false" ht="19.7" hidden="false" customHeight="false" outlineLevel="0" collapsed="false">
      <c r="A2" s="1" t="s">
        <v>902</v>
      </c>
    </row>
    <row r="3" customFormat="false" ht="15" hidden="false" customHeight="false" outlineLevel="0" collapsed="false">
      <c r="A3" s="2" t="s">
        <v>903</v>
      </c>
    </row>
    <row r="5" customFormat="false" ht="31.5" hidden="false" customHeight="true" outlineLevel="0" collapsed="false">
      <c r="A5" s="9" t="s">
        <v>904</v>
      </c>
      <c r="B5" s="9" t="s">
        <v>905</v>
      </c>
      <c r="C5" s="9" t="s">
        <v>81</v>
      </c>
      <c r="D5" s="9" t="s">
        <v>35</v>
      </c>
      <c r="E5" s="9" t="s">
        <v>906</v>
      </c>
      <c r="F5" s="9" t="s">
        <v>907</v>
      </c>
      <c r="G5" s="9" t="s">
        <v>908</v>
      </c>
      <c r="H5" s="9" t="s">
        <v>909</v>
      </c>
      <c r="I5" s="9" t="s">
        <v>910</v>
      </c>
      <c r="J5" s="9" t="s">
        <v>911</v>
      </c>
      <c r="K5" s="9" t="s">
        <v>912</v>
      </c>
      <c r="L5" s="9" t="s">
        <v>913</v>
      </c>
      <c r="M5" s="9" t="s">
        <v>914</v>
      </c>
      <c r="N5" s="9" t="s">
        <v>21</v>
      </c>
      <c r="O5" s="9" t="s">
        <v>53</v>
      </c>
      <c r="P5" s="9" t="s">
        <v>915</v>
      </c>
      <c r="Q5" s="9" t="s">
        <v>916</v>
      </c>
    </row>
    <row r="6" customFormat="false" ht="35.05" hidden="false" customHeight="false" outlineLevel="0" collapsed="false">
      <c r="A6" s="17" t="s">
        <v>917</v>
      </c>
      <c r="B6" s="16" t="s">
        <v>93</v>
      </c>
      <c r="C6" s="19" t="s">
        <v>95</v>
      </c>
      <c r="D6" s="19" t="str">
        <f aca="false">IFERROR(INDEX(Equipements!$B$6:$B$200,MATCH($B6,Equipements!$A$6:$A$200,0)),"?")</f>
        <v>Chauffage &amp; climatisation</v>
      </c>
      <c r="E6" s="18" t="s">
        <v>918</v>
      </c>
      <c r="F6" s="16" t="s">
        <v>202</v>
      </c>
      <c r="G6" s="16" t="n">
        <v>12</v>
      </c>
      <c r="H6" s="19" t="s">
        <v>919</v>
      </c>
      <c r="I6" s="19" t="s">
        <v>920</v>
      </c>
      <c r="J6" s="16" t="n">
        <v>90</v>
      </c>
      <c r="K6" s="19" t="s">
        <v>921</v>
      </c>
      <c r="L6" s="19" t="s">
        <v>922</v>
      </c>
      <c r="M6" s="19" t="s">
        <v>923</v>
      </c>
      <c r="N6" s="17" t="s">
        <v>97</v>
      </c>
      <c r="O6" s="16" t="s">
        <v>56</v>
      </c>
      <c r="P6" s="17" t="s">
        <v>924</v>
      </c>
      <c r="Q6" s="16" t="n">
        <v>0</v>
      </c>
    </row>
    <row r="7" customFormat="false" ht="35.05" hidden="false" customHeight="false" outlineLevel="0" collapsed="false">
      <c r="A7" s="23" t="s">
        <v>925</v>
      </c>
      <c r="B7" s="24" t="s">
        <v>93</v>
      </c>
      <c r="C7" s="25" t="s">
        <v>95</v>
      </c>
      <c r="D7" s="25" t="str">
        <f aca="false">IFERROR(INDEX(Equipements!$B$6:$B$200,MATCH($B7,Equipements!$A$6:$A$200,0)),"?")</f>
        <v>Chauffage &amp; climatisation</v>
      </c>
      <c r="E7" s="26" t="s">
        <v>926</v>
      </c>
      <c r="F7" s="24" t="s">
        <v>927</v>
      </c>
      <c r="G7" s="24" t="n">
        <v>1</v>
      </c>
      <c r="H7" s="25" t="s">
        <v>928</v>
      </c>
      <c r="I7" s="25" t="s">
        <v>929</v>
      </c>
      <c r="J7" s="24" t="n">
        <v>3</v>
      </c>
      <c r="K7" s="25" t="s">
        <v>930</v>
      </c>
      <c r="L7" s="25" t="s">
        <v>931</v>
      </c>
      <c r="M7" s="25" t="s">
        <v>932</v>
      </c>
      <c r="N7" s="24" t="s">
        <v>192</v>
      </c>
      <c r="O7" s="24" t="s">
        <v>56</v>
      </c>
      <c r="P7" s="23" t="s">
        <v>933</v>
      </c>
      <c r="Q7" s="24" t="n">
        <v>3</v>
      </c>
    </row>
    <row r="8" customFormat="false" ht="23.85" hidden="false" customHeight="false" outlineLevel="0" collapsed="false">
      <c r="A8" s="13" t="s">
        <v>934</v>
      </c>
      <c r="B8" s="27" t="s">
        <v>93</v>
      </c>
      <c r="C8" s="28" t="s">
        <v>95</v>
      </c>
      <c r="D8" s="28" t="str">
        <f aca="false">IFERROR(INDEX(Equipements!$B$6:$B$200,MATCH($B8,Equipements!$A$6:$A$200,0)),"?")</f>
        <v>Chauffage &amp; climatisation</v>
      </c>
      <c r="E8" s="12" t="s">
        <v>935</v>
      </c>
      <c r="F8" s="27" t="s">
        <v>202</v>
      </c>
      <c r="G8" s="27" t="n">
        <v>24</v>
      </c>
      <c r="H8" s="28" t="s">
        <v>170</v>
      </c>
      <c r="I8" s="28" t="s">
        <v>936</v>
      </c>
      <c r="J8" s="27" t="n">
        <v>20</v>
      </c>
      <c r="K8" s="28" t="s">
        <v>937</v>
      </c>
      <c r="L8" s="28" t="s">
        <v>938</v>
      </c>
      <c r="M8" s="28" t="s">
        <v>939</v>
      </c>
      <c r="N8" s="27" t="s">
        <v>192</v>
      </c>
      <c r="O8" s="27" t="s">
        <v>58</v>
      </c>
      <c r="P8" s="13" t="s">
        <v>940</v>
      </c>
      <c r="Q8" s="27" t="n">
        <v>0</v>
      </c>
    </row>
    <row r="9" customFormat="false" ht="35.05" hidden="false" customHeight="false" outlineLevel="0" collapsed="false">
      <c r="A9" s="17" t="s">
        <v>941</v>
      </c>
      <c r="B9" s="16" t="s">
        <v>108</v>
      </c>
      <c r="C9" s="19" t="s">
        <v>109</v>
      </c>
      <c r="D9" s="19" t="str">
        <f aca="false">IFERROR(INDEX(Equipements!$B$6:$B$200,MATCH($B9,Equipements!$A$6:$A$200,0)),"?")</f>
        <v>Chauffage &amp; climatisation</v>
      </c>
      <c r="E9" s="18" t="s">
        <v>942</v>
      </c>
      <c r="F9" s="16" t="s">
        <v>202</v>
      </c>
      <c r="G9" s="16" t="n">
        <v>12</v>
      </c>
      <c r="H9" s="19" t="s">
        <v>919</v>
      </c>
      <c r="I9" s="19" t="s">
        <v>943</v>
      </c>
      <c r="J9" s="16" t="n">
        <v>120</v>
      </c>
      <c r="K9" s="19" t="s">
        <v>944</v>
      </c>
      <c r="L9" s="19" t="s">
        <v>945</v>
      </c>
      <c r="M9" s="19" t="s">
        <v>946</v>
      </c>
      <c r="N9" s="17" t="s">
        <v>97</v>
      </c>
      <c r="O9" s="16" t="s">
        <v>56</v>
      </c>
      <c r="P9" s="17" t="s">
        <v>924</v>
      </c>
      <c r="Q9" s="16" t="n">
        <v>0</v>
      </c>
    </row>
    <row r="10" customFormat="false" ht="23.85" hidden="false" customHeight="false" outlineLevel="0" collapsed="false">
      <c r="A10" s="23" t="s">
        <v>947</v>
      </c>
      <c r="B10" s="24" t="s">
        <v>108</v>
      </c>
      <c r="C10" s="25" t="s">
        <v>109</v>
      </c>
      <c r="D10" s="25" t="str">
        <f aca="false">IFERROR(INDEX(Equipements!$B$6:$B$200,MATCH($B10,Equipements!$A$6:$A$200,0)),"?")</f>
        <v>Chauffage &amp; climatisation</v>
      </c>
      <c r="E10" s="26" t="s">
        <v>948</v>
      </c>
      <c r="F10" s="24" t="s">
        <v>927</v>
      </c>
      <c r="G10" s="24" t="n">
        <v>1</v>
      </c>
      <c r="H10" s="25" t="s">
        <v>928</v>
      </c>
      <c r="I10" s="25" t="s">
        <v>949</v>
      </c>
      <c r="J10" s="24" t="n">
        <v>5</v>
      </c>
      <c r="K10" s="25" t="s">
        <v>950</v>
      </c>
      <c r="L10" s="25" t="s">
        <v>951</v>
      </c>
      <c r="M10" s="25" t="s">
        <v>952</v>
      </c>
      <c r="N10" s="24" t="s">
        <v>192</v>
      </c>
      <c r="O10" s="24" t="s">
        <v>56</v>
      </c>
      <c r="P10" s="23" t="s">
        <v>933</v>
      </c>
      <c r="Q10" s="24" t="n">
        <v>5</v>
      </c>
    </row>
    <row r="11" customFormat="false" ht="23.85" hidden="false" customHeight="false" outlineLevel="0" collapsed="false">
      <c r="A11" s="17" t="s">
        <v>953</v>
      </c>
      <c r="B11" s="16" t="s">
        <v>119</v>
      </c>
      <c r="C11" s="19" t="s">
        <v>120</v>
      </c>
      <c r="D11" s="19" t="str">
        <f aca="false">IFERROR(INDEX(Equipements!$B$6:$B$200,MATCH($B11,Equipements!$A$6:$A$200,0)),"?")</f>
        <v>Chauffage &amp; climatisation</v>
      </c>
      <c r="E11" s="18" t="s">
        <v>954</v>
      </c>
      <c r="F11" s="16" t="s">
        <v>202</v>
      </c>
      <c r="G11" s="16" t="n">
        <v>12</v>
      </c>
      <c r="H11" s="19" t="s">
        <v>919</v>
      </c>
      <c r="I11" s="19" t="s">
        <v>955</v>
      </c>
      <c r="J11" s="16" t="n">
        <v>120</v>
      </c>
      <c r="K11" s="19" t="s">
        <v>944</v>
      </c>
      <c r="L11" s="19" t="s">
        <v>956</v>
      </c>
      <c r="M11" s="19" t="s">
        <v>957</v>
      </c>
      <c r="N11" s="17" t="s">
        <v>97</v>
      </c>
      <c r="O11" s="16" t="s">
        <v>56</v>
      </c>
      <c r="P11" s="17" t="s">
        <v>924</v>
      </c>
      <c r="Q11" s="16" t="n">
        <v>0</v>
      </c>
    </row>
    <row r="12" customFormat="false" ht="23.85" hidden="false" customHeight="false" outlineLevel="0" collapsed="false">
      <c r="A12" s="23" t="s">
        <v>958</v>
      </c>
      <c r="B12" s="24" t="s">
        <v>119</v>
      </c>
      <c r="C12" s="25" t="s">
        <v>120</v>
      </c>
      <c r="D12" s="25" t="str">
        <f aca="false">IFERROR(INDEX(Equipements!$B$6:$B$200,MATCH($B12,Equipements!$A$6:$A$200,0)),"?")</f>
        <v>Chauffage &amp; climatisation</v>
      </c>
      <c r="E12" s="26" t="s">
        <v>959</v>
      </c>
      <c r="F12" s="24" t="s">
        <v>927</v>
      </c>
      <c r="G12" s="24" t="n">
        <v>1</v>
      </c>
      <c r="H12" s="25" t="s">
        <v>960</v>
      </c>
      <c r="I12" s="25" t="s">
        <v>961</v>
      </c>
      <c r="J12" s="24" t="n">
        <v>10</v>
      </c>
      <c r="K12" s="25" t="s">
        <v>962</v>
      </c>
      <c r="L12" s="25" t="s">
        <v>963</v>
      </c>
      <c r="M12" s="25" t="s">
        <v>964</v>
      </c>
      <c r="N12" s="24" t="s">
        <v>192</v>
      </c>
      <c r="O12" s="24" t="s">
        <v>56</v>
      </c>
      <c r="P12" s="23" t="s">
        <v>933</v>
      </c>
      <c r="Q12" s="24" t="n">
        <v>10</v>
      </c>
    </row>
    <row r="13" customFormat="false" ht="23.85" hidden="false" customHeight="false" outlineLevel="0" collapsed="false">
      <c r="A13" s="23" t="s">
        <v>965</v>
      </c>
      <c r="B13" s="24" t="s">
        <v>128</v>
      </c>
      <c r="C13" s="25" t="s">
        <v>129</v>
      </c>
      <c r="D13" s="25" t="str">
        <f aca="false">IFERROR(INDEX(Equipements!$B$6:$B$200,MATCH($B13,Equipements!$A$6:$A$200,0)),"?")</f>
        <v>Chauffage &amp; climatisation</v>
      </c>
      <c r="E13" s="26" t="s">
        <v>966</v>
      </c>
      <c r="F13" s="24" t="s">
        <v>927</v>
      </c>
      <c r="G13" s="24" t="n">
        <v>0.25</v>
      </c>
      <c r="H13" s="25" t="s">
        <v>967</v>
      </c>
      <c r="I13" s="25" t="s">
        <v>961</v>
      </c>
      <c r="J13" s="24" t="n">
        <v>15</v>
      </c>
      <c r="K13" s="25" t="s">
        <v>968</v>
      </c>
      <c r="L13" s="25" t="s">
        <v>969</v>
      </c>
      <c r="M13" s="25" t="s">
        <v>970</v>
      </c>
      <c r="N13" s="24" t="s">
        <v>192</v>
      </c>
      <c r="O13" s="24" t="s">
        <v>56</v>
      </c>
      <c r="P13" s="23" t="s">
        <v>933</v>
      </c>
      <c r="Q13" s="24" t="n">
        <v>15</v>
      </c>
    </row>
    <row r="14" customFormat="false" ht="35.05" hidden="false" customHeight="false" outlineLevel="0" collapsed="false">
      <c r="A14" s="23" t="s">
        <v>971</v>
      </c>
      <c r="B14" s="24" t="s">
        <v>128</v>
      </c>
      <c r="C14" s="25" t="s">
        <v>129</v>
      </c>
      <c r="D14" s="25" t="str">
        <f aca="false">IFERROR(INDEX(Equipements!$B$6:$B$200,MATCH($B14,Equipements!$A$6:$A$200,0)),"?")</f>
        <v>Chauffage &amp; climatisation</v>
      </c>
      <c r="E14" s="26" t="s">
        <v>972</v>
      </c>
      <c r="F14" s="24" t="s">
        <v>927</v>
      </c>
      <c r="G14" s="24" t="n">
        <v>1</v>
      </c>
      <c r="H14" s="25" t="s">
        <v>973</v>
      </c>
      <c r="I14" s="25" t="s">
        <v>961</v>
      </c>
      <c r="J14" s="24" t="n">
        <v>25</v>
      </c>
      <c r="K14" s="25" t="s">
        <v>974</v>
      </c>
      <c r="L14" s="25" t="s">
        <v>975</v>
      </c>
      <c r="M14" s="25" t="s">
        <v>976</v>
      </c>
      <c r="N14" s="24" t="s">
        <v>192</v>
      </c>
      <c r="O14" s="24" t="s">
        <v>56</v>
      </c>
      <c r="P14" s="23" t="s">
        <v>940</v>
      </c>
      <c r="Q14" s="24" t="n">
        <v>25</v>
      </c>
    </row>
    <row r="15" customFormat="false" ht="23.85" hidden="false" customHeight="false" outlineLevel="0" collapsed="false">
      <c r="A15" s="17" t="s">
        <v>977</v>
      </c>
      <c r="B15" s="16" t="s">
        <v>128</v>
      </c>
      <c r="C15" s="19" t="s">
        <v>129</v>
      </c>
      <c r="D15" s="19" t="str">
        <f aca="false">IFERROR(INDEX(Equipements!$B$6:$B$200,MATCH($B15,Equipements!$A$6:$A$200,0)),"?")</f>
        <v>Chauffage &amp; climatisation</v>
      </c>
      <c r="E15" s="18" t="s">
        <v>978</v>
      </c>
      <c r="F15" s="16" t="s">
        <v>202</v>
      </c>
      <c r="G15" s="16" t="n">
        <v>12</v>
      </c>
      <c r="H15" s="19" t="s">
        <v>919</v>
      </c>
      <c r="I15" s="19" t="s">
        <v>955</v>
      </c>
      <c r="J15" s="16" t="n">
        <v>90</v>
      </c>
      <c r="K15" s="19" t="s">
        <v>944</v>
      </c>
      <c r="L15" s="19" t="s">
        <v>979</v>
      </c>
      <c r="M15" s="19" t="s">
        <v>980</v>
      </c>
      <c r="N15" s="17" t="s">
        <v>97</v>
      </c>
      <c r="O15" s="16" t="s">
        <v>56</v>
      </c>
      <c r="P15" s="17" t="s">
        <v>924</v>
      </c>
      <c r="Q15" s="16" t="n">
        <v>0</v>
      </c>
    </row>
    <row r="16" customFormat="false" ht="23.85" hidden="false" customHeight="false" outlineLevel="0" collapsed="false">
      <c r="A16" s="13" t="s">
        <v>981</v>
      </c>
      <c r="B16" s="27" t="s">
        <v>128</v>
      </c>
      <c r="C16" s="28" t="s">
        <v>129</v>
      </c>
      <c r="D16" s="28" t="str">
        <f aca="false">IFERROR(INDEX(Equipements!$B$6:$B$200,MATCH($B16,Equipements!$A$6:$A$200,0)),"?")</f>
        <v>Chauffage &amp; climatisation</v>
      </c>
      <c r="E16" s="12" t="s">
        <v>982</v>
      </c>
      <c r="F16" s="27" t="s">
        <v>202</v>
      </c>
      <c r="G16" s="27" t="n">
        <v>36</v>
      </c>
      <c r="H16" s="28" t="s">
        <v>983</v>
      </c>
      <c r="I16" s="28" t="s">
        <v>984</v>
      </c>
      <c r="J16" s="27" t="n">
        <v>30</v>
      </c>
      <c r="K16" s="28" t="s">
        <v>985</v>
      </c>
      <c r="L16" s="28" t="s">
        <v>986</v>
      </c>
      <c r="M16" s="28" t="s">
        <v>987</v>
      </c>
      <c r="N16" s="27" t="s">
        <v>192</v>
      </c>
      <c r="O16" s="27" t="s">
        <v>58</v>
      </c>
      <c r="P16" s="13" t="s">
        <v>940</v>
      </c>
      <c r="Q16" s="27" t="n">
        <v>0</v>
      </c>
    </row>
    <row r="17" customFormat="false" ht="23.85" hidden="false" customHeight="false" outlineLevel="0" collapsed="false">
      <c r="A17" s="23" t="s">
        <v>988</v>
      </c>
      <c r="B17" s="24" t="s">
        <v>136</v>
      </c>
      <c r="C17" s="25" t="s">
        <v>137</v>
      </c>
      <c r="D17" s="25" t="str">
        <f aca="false">IFERROR(INDEX(Equipements!$B$6:$B$200,MATCH($B17,Equipements!$A$6:$A$200,0)),"?")</f>
        <v>Chauffage &amp; climatisation</v>
      </c>
      <c r="E17" s="26" t="s">
        <v>989</v>
      </c>
      <c r="F17" s="24" t="s">
        <v>927</v>
      </c>
      <c r="G17" s="24" t="n">
        <v>0.25</v>
      </c>
      <c r="H17" s="25" t="s">
        <v>967</v>
      </c>
      <c r="I17" s="25" t="s">
        <v>961</v>
      </c>
      <c r="J17" s="24" t="n">
        <v>15</v>
      </c>
      <c r="K17" s="25" t="s">
        <v>990</v>
      </c>
      <c r="L17" s="25" t="s">
        <v>991</v>
      </c>
      <c r="M17" s="25" t="s">
        <v>992</v>
      </c>
      <c r="N17" s="24" t="s">
        <v>192</v>
      </c>
      <c r="O17" s="24" t="s">
        <v>56</v>
      </c>
      <c r="P17" s="23" t="s">
        <v>940</v>
      </c>
      <c r="Q17" s="24" t="n">
        <v>15</v>
      </c>
    </row>
    <row r="18" customFormat="false" ht="23.85" hidden="false" customHeight="false" outlineLevel="0" collapsed="false">
      <c r="A18" s="17" t="s">
        <v>993</v>
      </c>
      <c r="B18" s="16" t="s">
        <v>136</v>
      </c>
      <c r="C18" s="19" t="s">
        <v>137</v>
      </c>
      <c r="D18" s="19" t="str">
        <f aca="false">IFERROR(INDEX(Equipements!$B$6:$B$200,MATCH($B18,Equipements!$A$6:$A$200,0)),"?")</f>
        <v>Chauffage &amp; climatisation</v>
      </c>
      <c r="E18" s="18" t="s">
        <v>994</v>
      </c>
      <c r="F18" s="16" t="s">
        <v>202</v>
      </c>
      <c r="G18" s="16" t="n">
        <v>12</v>
      </c>
      <c r="H18" s="19" t="s">
        <v>919</v>
      </c>
      <c r="I18" s="19" t="s">
        <v>955</v>
      </c>
      <c r="J18" s="16" t="n">
        <v>60</v>
      </c>
      <c r="K18" s="19" t="s">
        <v>944</v>
      </c>
      <c r="L18" s="19" t="s">
        <v>995</v>
      </c>
      <c r="M18" s="19" t="s">
        <v>996</v>
      </c>
      <c r="N18" s="17" t="s">
        <v>97</v>
      </c>
      <c r="O18" s="16" t="s">
        <v>56</v>
      </c>
      <c r="P18" s="17" t="s">
        <v>924</v>
      </c>
      <c r="Q18" s="16" t="n">
        <v>0</v>
      </c>
    </row>
    <row r="19" customFormat="false" ht="35.05" hidden="false" customHeight="false" outlineLevel="0" collapsed="false">
      <c r="A19" s="17" t="s">
        <v>997</v>
      </c>
      <c r="B19" s="16" t="s">
        <v>156</v>
      </c>
      <c r="C19" s="19" t="s">
        <v>157</v>
      </c>
      <c r="D19" s="19" t="str">
        <f aca="false">IFERROR(INDEX(Equipements!$B$6:$B$200,MATCH($B19,Equipements!$A$6:$A$200,0)),"?")</f>
        <v>Chauffage &amp; climatisation</v>
      </c>
      <c r="E19" s="18" t="s">
        <v>998</v>
      </c>
      <c r="F19" s="16" t="s">
        <v>202</v>
      </c>
      <c r="G19" s="16" t="n">
        <v>12</v>
      </c>
      <c r="H19" s="19" t="s">
        <v>999</v>
      </c>
      <c r="I19" s="19" t="s">
        <v>1000</v>
      </c>
      <c r="J19" s="16" t="n">
        <v>45</v>
      </c>
      <c r="K19" s="19" t="s">
        <v>1001</v>
      </c>
      <c r="L19" s="19" t="s">
        <v>1002</v>
      </c>
      <c r="M19" s="19" t="s">
        <v>1003</v>
      </c>
      <c r="N19" s="17" t="s">
        <v>97</v>
      </c>
      <c r="O19" s="16" t="s">
        <v>56</v>
      </c>
      <c r="P19" s="17" t="s">
        <v>924</v>
      </c>
      <c r="Q19" s="16" t="n">
        <v>0</v>
      </c>
    </row>
    <row r="20" customFormat="false" ht="35.05" hidden="false" customHeight="false" outlineLevel="0" collapsed="false">
      <c r="A20" s="17" t="s">
        <v>1004</v>
      </c>
      <c r="B20" s="16" t="s">
        <v>156</v>
      </c>
      <c r="C20" s="19" t="s">
        <v>157</v>
      </c>
      <c r="D20" s="19" t="str">
        <f aca="false">IFERROR(INDEX(Equipements!$B$6:$B$200,MATCH($B20,Equipements!$A$6:$A$200,0)),"?")</f>
        <v>Chauffage &amp; climatisation</v>
      </c>
      <c r="E20" s="18" t="s">
        <v>1005</v>
      </c>
      <c r="F20" s="16" t="s">
        <v>202</v>
      </c>
      <c r="G20" s="16" t="n">
        <v>6</v>
      </c>
      <c r="H20" s="19" t="s">
        <v>1006</v>
      </c>
      <c r="I20" s="19" t="s">
        <v>1007</v>
      </c>
      <c r="J20" s="16" t="n">
        <v>45</v>
      </c>
      <c r="K20" s="19" t="s">
        <v>1001</v>
      </c>
      <c r="L20" s="19" t="s">
        <v>1008</v>
      </c>
      <c r="M20" s="19" t="s">
        <v>1009</v>
      </c>
      <c r="N20" s="17" t="s">
        <v>97</v>
      </c>
      <c r="O20" s="16" t="s">
        <v>56</v>
      </c>
      <c r="P20" s="17" t="s">
        <v>924</v>
      </c>
      <c r="Q20" s="16" t="n">
        <v>0</v>
      </c>
    </row>
    <row r="21" customFormat="false" ht="23.85" hidden="false" customHeight="false" outlineLevel="0" collapsed="false">
      <c r="A21" s="17" t="s">
        <v>1010</v>
      </c>
      <c r="B21" s="16" t="s">
        <v>145</v>
      </c>
      <c r="C21" s="19" t="s">
        <v>146</v>
      </c>
      <c r="D21" s="19" t="str">
        <f aca="false">IFERROR(INDEX(Equipements!$B$6:$B$200,MATCH($B21,Equipements!$A$6:$A$200,0)),"?")</f>
        <v>Chauffage &amp; climatisation</v>
      </c>
      <c r="E21" s="18" t="s">
        <v>1011</v>
      </c>
      <c r="F21" s="16" t="s">
        <v>202</v>
      </c>
      <c r="G21" s="16" t="n">
        <v>12</v>
      </c>
      <c r="H21" s="19" t="s">
        <v>999</v>
      </c>
      <c r="I21" s="19" t="s">
        <v>1012</v>
      </c>
      <c r="J21" s="16" t="n">
        <v>45</v>
      </c>
      <c r="K21" s="19" t="s">
        <v>1001</v>
      </c>
      <c r="L21" s="19" t="s">
        <v>1013</v>
      </c>
      <c r="M21" s="19" t="s">
        <v>152</v>
      </c>
      <c r="N21" s="17" t="s">
        <v>97</v>
      </c>
      <c r="O21" s="16" t="s">
        <v>56</v>
      </c>
      <c r="P21" s="17" t="s">
        <v>924</v>
      </c>
      <c r="Q21" s="16" t="n">
        <v>0</v>
      </c>
    </row>
    <row r="22" customFormat="false" ht="35.05" hidden="false" customHeight="false" outlineLevel="0" collapsed="false">
      <c r="A22" s="17" t="s">
        <v>1014</v>
      </c>
      <c r="B22" s="16" t="s">
        <v>167</v>
      </c>
      <c r="C22" s="19" t="s">
        <v>168</v>
      </c>
      <c r="D22" s="19" t="str">
        <f aca="false">IFERROR(INDEX(Equipements!$B$6:$B$200,MATCH($B22,Equipements!$A$6:$A$200,0)),"?")</f>
        <v>Chauffage &amp; climatisation</v>
      </c>
      <c r="E22" s="18" t="s">
        <v>1015</v>
      </c>
      <c r="F22" s="16" t="s">
        <v>202</v>
      </c>
      <c r="G22" s="16" t="n">
        <v>24</v>
      </c>
      <c r="H22" s="19" t="s">
        <v>170</v>
      </c>
      <c r="I22" s="19" t="s">
        <v>1016</v>
      </c>
      <c r="J22" s="16" t="n">
        <v>90</v>
      </c>
      <c r="K22" s="19" t="s">
        <v>944</v>
      </c>
      <c r="L22" s="19" t="s">
        <v>1017</v>
      </c>
      <c r="M22" s="19" t="s">
        <v>1018</v>
      </c>
      <c r="N22" s="17" t="s">
        <v>97</v>
      </c>
      <c r="O22" s="16" t="s">
        <v>56</v>
      </c>
      <c r="P22" s="17" t="s">
        <v>924</v>
      </c>
      <c r="Q22" s="16" t="n">
        <v>0</v>
      </c>
    </row>
    <row r="23" customFormat="false" ht="35.05" hidden="false" customHeight="false" outlineLevel="0" collapsed="false">
      <c r="A23" s="23" t="s">
        <v>1019</v>
      </c>
      <c r="B23" s="24" t="s">
        <v>167</v>
      </c>
      <c r="C23" s="25" t="s">
        <v>168</v>
      </c>
      <c r="D23" s="25" t="str">
        <f aca="false">IFERROR(INDEX(Equipements!$B$6:$B$200,MATCH($B23,Equipements!$A$6:$A$200,0)),"?")</f>
        <v>Chauffage &amp; climatisation</v>
      </c>
      <c r="E23" s="26" t="s">
        <v>1020</v>
      </c>
      <c r="F23" s="24" t="s">
        <v>927</v>
      </c>
      <c r="G23" s="24" t="n">
        <v>6</v>
      </c>
      <c r="H23" s="25" t="s">
        <v>711</v>
      </c>
      <c r="I23" s="25" t="s">
        <v>1021</v>
      </c>
      <c r="J23" s="24" t="n">
        <v>20</v>
      </c>
      <c r="K23" s="25" t="s">
        <v>1022</v>
      </c>
      <c r="L23" s="25" t="s">
        <v>1023</v>
      </c>
      <c r="M23" s="25" t="s">
        <v>1024</v>
      </c>
      <c r="N23" s="24" t="s">
        <v>192</v>
      </c>
      <c r="O23" s="24" t="s">
        <v>56</v>
      </c>
      <c r="P23" s="23" t="s">
        <v>940</v>
      </c>
      <c r="Q23" s="24" t="n">
        <v>20</v>
      </c>
    </row>
    <row r="24" customFormat="false" ht="23.85" hidden="false" customHeight="false" outlineLevel="0" collapsed="false">
      <c r="A24" s="23" t="s">
        <v>1025</v>
      </c>
      <c r="B24" s="24" t="s">
        <v>167</v>
      </c>
      <c r="C24" s="25" t="s">
        <v>168</v>
      </c>
      <c r="D24" s="25" t="str">
        <f aca="false">IFERROR(INDEX(Equipements!$B$6:$B$200,MATCH($B24,Equipements!$A$6:$A$200,0)),"?")</f>
        <v>Chauffage &amp; climatisation</v>
      </c>
      <c r="E24" s="26" t="s">
        <v>1026</v>
      </c>
      <c r="F24" s="24" t="s">
        <v>927</v>
      </c>
      <c r="G24" s="24" t="n">
        <v>12</v>
      </c>
      <c r="H24" s="25" t="s">
        <v>1027</v>
      </c>
      <c r="I24" s="25" t="s">
        <v>1028</v>
      </c>
      <c r="J24" s="24" t="n">
        <v>10</v>
      </c>
      <c r="K24" s="25" t="s">
        <v>1029</v>
      </c>
      <c r="L24" s="25" t="s">
        <v>1030</v>
      </c>
      <c r="M24" s="25" t="s">
        <v>1031</v>
      </c>
      <c r="N24" s="24" t="s">
        <v>192</v>
      </c>
      <c r="O24" s="24" t="s">
        <v>56</v>
      </c>
      <c r="P24" s="23" t="s">
        <v>933</v>
      </c>
      <c r="Q24" s="24" t="n">
        <v>10</v>
      </c>
    </row>
    <row r="25" customFormat="false" ht="23.85" hidden="false" customHeight="false" outlineLevel="0" collapsed="false">
      <c r="A25" s="23" t="s">
        <v>1032</v>
      </c>
      <c r="B25" s="24" t="s">
        <v>176</v>
      </c>
      <c r="C25" s="25" t="s">
        <v>177</v>
      </c>
      <c r="D25" s="25" t="str">
        <f aca="false">IFERROR(INDEX(Equipements!$B$6:$B$200,MATCH($B25,Equipements!$A$6:$A$200,0)),"?")</f>
        <v>Chauffage &amp; climatisation</v>
      </c>
      <c r="E25" s="26" t="s">
        <v>1033</v>
      </c>
      <c r="F25" s="24" t="s">
        <v>927</v>
      </c>
      <c r="G25" s="24" t="n">
        <v>1</v>
      </c>
      <c r="H25" s="25" t="s">
        <v>1034</v>
      </c>
      <c r="I25" s="25" t="s">
        <v>929</v>
      </c>
      <c r="J25" s="24" t="n">
        <v>10</v>
      </c>
      <c r="K25" s="25" t="s">
        <v>1035</v>
      </c>
      <c r="L25" s="25" t="s">
        <v>1036</v>
      </c>
      <c r="M25" s="25" t="s">
        <v>1037</v>
      </c>
      <c r="N25" s="24" t="s">
        <v>192</v>
      </c>
      <c r="O25" s="24" t="s">
        <v>56</v>
      </c>
      <c r="P25" s="23" t="s">
        <v>940</v>
      </c>
      <c r="Q25" s="24" t="n">
        <v>10</v>
      </c>
    </row>
    <row r="26" customFormat="false" ht="23.85" hidden="false" customHeight="false" outlineLevel="0" collapsed="false">
      <c r="A26" s="17" t="s">
        <v>1038</v>
      </c>
      <c r="B26" s="16" t="s">
        <v>176</v>
      </c>
      <c r="C26" s="19" t="s">
        <v>177</v>
      </c>
      <c r="D26" s="19" t="str">
        <f aca="false">IFERROR(INDEX(Equipements!$B$6:$B$200,MATCH($B26,Equipements!$A$6:$A$200,0)),"?")</f>
        <v>Chauffage &amp; climatisation</v>
      </c>
      <c r="E26" s="18" t="s">
        <v>1039</v>
      </c>
      <c r="F26" s="16" t="s">
        <v>202</v>
      </c>
      <c r="G26" s="16" t="n">
        <v>24</v>
      </c>
      <c r="H26" s="19" t="s">
        <v>170</v>
      </c>
      <c r="I26" s="19" t="s">
        <v>1040</v>
      </c>
      <c r="J26" s="16" t="n">
        <v>90</v>
      </c>
      <c r="K26" s="19" t="s">
        <v>298</v>
      </c>
      <c r="L26" s="19" t="s">
        <v>1041</v>
      </c>
      <c r="M26" s="19" t="s">
        <v>1042</v>
      </c>
      <c r="N26" s="17" t="s">
        <v>97</v>
      </c>
      <c r="O26" s="16" t="s">
        <v>56</v>
      </c>
      <c r="P26" s="17" t="s">
        <v>924</v>
      </c>
      <c r="Q26" s="16" t="n">
        <v>0</v>
      </c>
    </row>
    <row r="27" customFormat="false" ht="35.05" hidden="false" customHeight="false" outlineLevel="0" collapsed="false">
      <c r="A27" s="23" t="s">
        <v>1043</v>
      </c>
      <c r="B27" s="24" t="s">
        <v>189</v>
      </c>
      <c r="C27" s="25" t="s">
        <v>190</v>
      </c>
      <c r="D27" s="25" t="str">
        <f aca="false">IFERROR(INDEX(Equipements!$B$6:$B$200,MATCH($B27,Equipements!$A$6:$A$200,0)),"?")</f>
        <v>Chauffage &amp; climatisation</v>
      </c>
      <c r="E27" s="26" t="s">
        <v>1044</v>
      </c>
      <c r="F27" s="24" t="s">
        <v>927</v>
      </c>
      <c r="G27" s="24" t="n">
        <v>12</v>
      </c>
      <c r="H27" s="25" t="s">
        <v>1027</v>
      </c>
      <c r="I27" s="25" t="s">
        <v>1045</v>
      </c>
      <c r="J27" s="24" t="n">
        <v>30</v>
      </c>
      <c r="K27" s="25" t="s">
        <v>1046</v>
      </c>
      <c r="L27" s="25" t="s">
        <v>1047</v>
      </c>
      <c r="M27" s="25" t="s">
        <v>1048</v>
      </c>
      <c r="N27" s="24" t="s">
        <v>192</v>
      </c>
      <c r="O27" s="24" t="s">
        <v>56</v>
      </c>
      <c r="P27" s="23" t="s">
        <v>940</v>
      </c>
      <c r="Q27" s="24" t="n">
        <v>30</v>
      </c>
    </row>
    <row r="28" customFormat="false" ht="23.85" hidden="false" customHeight="false" outlineLevel="0" collapsed="false">
      <c r="A28" s="23" t="s">
        <v>1049</v>
      </c>
      <c r="B28" s="24" t="s">
        <v>189</v>
      </c>
      <c r="C28" s="25" t="s">
        <v>190</v>
      </c>
      <c r="D28" s="25" t="str">
        <f aca="false">IFERROR(INDEX(Equipements!$B$6:$B$200,MATCH($B28,Equipements!$A$6:$A$200,0)),"?")</f>
        <v>Chauffage &amp; climatisation</v>
      </c>
      <c r="E28" s="26" t="s">
        <v>1050</v>
      </c>
      <c r="F28" s="24" t="s">
        <v>927</v>
      </c>
      <c r="G28" s="24" t="n">
        <v>6</v>
      </c>
      <c r="H28" s="25" t="s">
        <v>711</v>
      </c>
      <c r="I28" s="25" t="s">
        <v>1051</v>
      </c>
      <c r="J28" s="24" t="n">
        <v>20</v>
      </c>
      <c r="K28" s="25" t="s">
        <v>1052</v>
      </c>
      <c r="L28" s="25" t="s">
        <v>1053</v>
      </c>
      <c r="M28" s="25" t="s">
        <v>1054</v>
      </c>
      <c r="N28" s="24" t="s">
        <v>192</v>
      </c>
      <c r="O28" s="24" t="s">
        <v>56</v>
      </c>
      <c r="P28" s="23" t="s">
        <v>940</v>
      </c>
      <c r="Q28" s="24" t="n">
        <v>20</v>
      </c>
    </row>
    <row r="29" customFormat="false" ht="23.85" hidden="false" customHeight="false" outlineLevel="0" collapsed="false">
      <c r="A29" s="13" t="s">
        <v>1055</v>
      </c>
      <c r="B29" s="27" t="s">
        <v>199</v>
      </c>
      <c r="C29" s="28" t="s">
        <v>200</v>
      </c>
      <c r="D29" s="28" t="str">
        <f aca="false">IFERROR(INDEX(Equipements!$B$6:$B$200,MATCH($B29,Equipements!$A$6:$A$200,0)),"?")</f>
        <v>Chauffage &amp; climatisation</v>
      </c>
      <c r="E29" s="12" t="s">
        <v>1056</v>
      </c>
      <c r="F29" s="27" t="s">
        <v>202</v>
      </c>
      <c r="G29" s="27" t="n">
        <v>108</v>
      </c>
      <c r="H29" s="28" t="s">
        <v>1057</v>
      </c>
      <c r="I29" s="28" t="s">
        <v>1058</v>
      </c>
      <c r="J29" s="27" t="n">
        <v>240</v>
      </c>
      <c r="K29" s="28" t="s">
        <v>1059</v>
      </c>
      <c r="L29" s="28" t="s">
        <v>1060</v>
      </c>
      <c r="M29" s="28" t="s">
        <v>1061</v>
      </c>
      <c r="N29" s="27" t="s">
        <v>192</v>
      </c>
      <c r="O29" s="27" t="s">
        <v>60</v>
      </c>
      <c r="P29" s="13" t="s">
        <v>940</v>
      </c>
      <c r="Q29" s="27" t="n">
        <v>0</v>
      </c>
    </row>
    <row r="30" customFormat="false" ht="23.85" hidden="false" customHeight="false" outlineLevel="0" collapsed="false">
      <c r="A30" s="23" t="s">
        <v>1062</v>
      </c>
      <c r="B30" s="24" t="s">
        <v>216</v>
      </c>
      <c r="C30" s="25" t="s">
        <v>217</v>
      </c>
      <c r="D30" s="25" t="str">
        <f aca="false">IFERROR(INDEX(Equipements!$B$6:$B$200,MATCH($B30,Equipements!$A$6:$A$200,0)),"?")</f>
        <v>Chauffage &amp; climatisation</v>
      </c>
      <c r="E30" s="26" t="s">
        <v>1063</v>
      </c>
      <c r="F30" s="24" t="s">
        <v>927</v>
      </c>
      <c r="G30" s="24" t="n">
        <v>12</v>
      </c>
      <c r="H30" s="25" t="s">
        <v>1027</v>
      </c>
      <c r="I30" s="25" t="s">
        <v>1064</v>
      </c>
      <c r="J30" s="24" t="n">
        <v>15</v>
      </c>
      <c r="K30" s="25" t="s">
        <v>1065</v>
      </c>
      <c r="L30" s="25" t="s">
        <v>1066</v>
      </c>
      <c r="M30" s="25" t="s">
        <v>1067</v>
      </c>
      <c r="N30" s="24" t="s">
        <v>192</v>
      </c>
      <c r="O30" s="24" t="s">
        <v>56</v>
      </c>
      <c r="P30" s="23" t="s">
        <v>940</v>
      </c>
      <c r="Q30" s="24" t="n">
        <v>15</v>
      </c>
    </row>
    <row r="31" customFormat="false" ht="23.85" hidden="false" customHeight="false" outlineLevel="0" collapsed="false">
      <c r="A31" s="13" t="s">
        <v>1068</v>
      </c>
      <c r="B31" s="27" t="s">
        <v>222</v>
      </c>
      <c r="C31" s="28" t="s">
        <v>223</v>
      </c>
      <c r="D31" s="28" t="str">
        <f aca="false">IFERROR(INDEX(Equipements!$B$6:$B$200,MATCH($B31,Equipements!$A$6:$A$200,0)),"?")</f>
        <v>Chauffage &amp; climatisation</v>
      </c>
      <c r="E31" s="12" t="s">
        <v>1069</v>
      </c>
      <c r="F31" s="27" t="s">
        <v>202</v>
      </c>
      <c r="G31" s="27" t="n">
        <v>84</v>
      </c>
      <c r="H31" s="28" t="s">
        <v>1070</v>
      </c>
      <c r="I31" s="28" t="s">
        <v>1071</v>
      </c>
      <c r="J31" s="27" t="n">
        <v>180</v>
      </c>
      <c r="K31" s="28" t="s">
        <v>1072</v>
      </c>
      <c r="L31" s="28" t="s">
        <v>1073</v>
      </c>
      <c r="M31" s="28" t="s">
        <v>1074</v>
      </c>
      <c r="N31" s="27" t="s">
        <v>225</v>
      </c>
      <c r="O31" s="27" t="s">
        <v>60</v>
      </c>
      <c r="P31" s="13" t="s">
        <v>933</v>
      </c>
      <c r="Q31" s="27" t="n">
        <v>0</v>
      </c>
    </row>
    <row r="32" customFormat="false" ht="35.05" hidden="false" customHeight="false" outlineLevel="0" collapsed="false">
      <c r="A32" s="23" t="s">
        <v>1075</v>
      </c>
      <c r="B32" s="24" t="s">
        <v>253</v>
      </c>
      <c r="C32" s="25" t="s">
        <v>255</v>
      </c>
      <c r="D32" s="25" t="str">
        <f aca="false">IFERROR(INDEX(Equipements!$B$6:$B$200,MATCH($B32,Equipements!$A$6:$A$200,0)),"?")</f>
        <v>Chauffage &amp; climatisation</v>
      </c>
      <c r="E32" s="26" t="s">
        <v>1076</v>
      </c>
      <c r="F32" s="24" t="s">
        <v>927</v>
      </c>
      <c r="G32" s="24" t="n">
        <v>1</v>
      </c>
      <c r="H32" s="25" t="s">
        <v>928</v>
      </c>
      <c r="I32" s="25" t="s">
        <v>929</v>
      </c>
      <c r="J32" s="24" t="n">
        <v>2</v>
      </c>
      <c r="K32" s="25" t="s">
        <v>1029</v>
      </c>
      <c r="L32" s="25" t="s">
        <v>1077</v>
      </c>
      <c r="M32" s="25" t="s">
        <v>1078</v>
      </c>
      <c r="N32" s="24" t="s">
        <v>192</v>
      </c>
      <c r="O32" s="24" t="s">
        <v>56</v>
      </c>
      <c r="P32" s="23" t="s">
        <v>933</v>
      </c>
      <c r="Q32" s="24" t="n">
        <v>2</v>
      </c>
    </row>
    <row r="33" customFormat="false" ht="35.05" hidden="false" customHeight="false" outlineLevel="0" collapsed="false">
      <c r="A33" s="13" t="s">
        <v>1079</v>
      </c>
      <c r="B33" s="27" t="s">
        <v>253</v>
      </c>
      <c r="C33" s="28" t="s">
        <v>255</v>
      </c>
      <c r="D33" s="28" t="str">
        <f aca="false">IFERROR(INDEX(Equipements!$B$6:$B$200,MATCH($B33,Equipements!$A$6:$A$200,0)),"?")</f>
        <v>Chauffage &amp; climatisation</v>
      </c>
      <c r="E33" s="12" t="s">
        <v>1080</v>
      </c>
      <c r="F33" s="27" t="s">
        <v>202</v>
      </c>
      <c r="G33" s="27" t="n">
        <v>24</v>
      </c>
      <c r="H33" s="28" t="s">
        <v>1081</v>
      </c>
      <c r="I33" s="28" t="s">
        <v>1082</v>
      </c>
      <c r="J33" s="27" t="n">
        <v>120</v>
      </c>
      <c r="K33" s="28" t="s">
        <v>1083</v>
      </c>
      <c r="L33" s="28" t="s">
        <v>1084</v>
      </c>
      <c r="M33" s="28" t="s">
        <v>1085</v>
      </c>
      <c r="N33" s="27" t="s">
        <v>192</v>
      </c>
      <c r="O33" s="27" t="s">
        <v>56</v>
      </c>
      <c r="P33" s="13" t="s">
        <v>933</v>
      </c>
      <c r="Q33" s="27" t="n">
        <v>0</v>
      </c>
    </row>
    <row r="34" customFormat="false" ht="23.85" hidden="false" customHeight="false" outlineLevel="0" collapsed="false">
      <c r="A34" s="23" t="s">
        <v>1086</v>
      </c>
      <c r="B34" s="24" t="s">
        <v>253</v>
      </c>
      <c r="C34" s="25" t="s">
        <v>255</v>
      </c>
      <c r="D34" s="25" t="str">
        <f aca="false">IFERROR(INDEX(Equipements!$B$6:$B$200,MATCH($B34,Equipements!$A$6:$A$200,0)),"?")</f>
        <v>Chauffage &amp; climatisation</v>
      </c>
      <c r="E34" s="26" t="s">
        <v>1087</v>
      </c>
      <c r="F34" s="24" t="s">
        <v>927</v>
      </c>
      <c r="G34" s="24" t="n">
        <v>12</v>
      </c>
      <c r="H34" s="25" t="s">
        <v>1027</v>
      </c>
      <c r="I34" s="25" t="s">
        <v>1088</v>
      </c>
      <c r="J34" s="24" t="n">
        <v>5</v>
      </c>
      <c r="K34" s="25" t="s">
        <v>1089</v>
      </c>
      <c r="L34" s="25" t="s">
        <v>1090</v>
      </c>
      <c r="M34" s="25" t="s">
        <v>1091</v>
      </c>
      <c r="N34" s="24" t="s">
        <v>192</v>
      </c>
      <c r="O34" s="24" t="s">
        <v>56</v>
      </c>
      <c r="P34" s="23" t="s">
        <v>940</v>
      </c>
      <c r="Q34" s="24" t="n">
        <v>5</v>
      </c>
    </row>
    <row r="35" customFormat="false" ht="23.85" hidden="false" customHeight="false" outlineLevel="0" collapsed="false">
      <c r="A35" s="17" t="s">
        <v>1092</v>
      </c>
      <c r="B35" s="16" t="s">
        <v>261</v>
      </c>
      <c r="C35" s="19" t="s">
        <v>262</v>
      </c>
      <c r="D35" s="19" t="str">
        <f aca="false">IFERROR(INDEX(Equipements!$B$6:$B$200,MATCH($B35,Equipements!$A$6:$A$200,0)),"?")</f>
        <v>Chauffage &amp; climatisation</v>
      </c>
      <c r="E35" s="18" t="s">
        <v>1093</v>
      </c>
      <c r="F35" s="16" t="s">
        <v>202</v>
      </c>
      <c r="G35" s="16" t="n">
        <v>24</v>
      </c>
      <c r="H35" s="19" t="s">
        <v>170</v>
      </c>
      <c r="I35" s="19" t="s">
        <v>1040</v>
      </c>
      <c r="J35" s="16" t="n">
        <v>90</v>
      </c>
      <c r="K35" s="19" t="s">
        <v>112</v>
      </c>
      <c r="L35" s="19" t="s">
        <v>1094</v>
      </c>
      <c r="M35" s="19" t="s">
        <v>1095</v>
      </c>
      <c r="N35" s="17" t="s">
        <v>97</v>
      </c>
      <c r="O35" s="16" t="s">
        <v>56</v>
      </c>
      <c r="P35" s="17" t="s">
        <v>924</v>
      </c>
      <c r="Q35" s="16" t="n">
        <v>0</v>
      </c>
    </row>
    <row r="36" customFormat="false" ht="23.85" hidden="false" customHeight="false" outlineLevel="0" collapsed="false">
      <c r="A36" s="23" t="s">
        <v>1096</v>
      </c>
      <c r="B36" s="24" t="s">
        <v>261</v>
      </c>
      <c r="C36" s="25" t="s">
        <v>262</v>
      </c>
      <c r="D36" s="25" t="str">
        <f aca="false">IFERROR(INDEX(Equipements!$B$6:$B$200,MATCH($B36,Equipements!$A$6:$A$200,0)),"?")</f>
        <v>Chauffage &amp; climatisation</v>
      </c>
      <c r="E36" s="26" t="s">
        <v>1097</v>
      </c>
      <c r="F36" s="24" t="s">
        <v>927</v>
      </c>
      <c r="G36" s="24" t="n">
        <v>3</v>
      </c>
      <c r="H36" s="25" t="s">
        <v>1098</v>
      </c>
      <c r="I36" s="25" t="s">
        <v>929</v>
      </c>
      <c r="J36" s="24" t="n">
        <v>10</v>
      </c>
      <c r="K36" s="25" t="s">
        <v>1099</v>
      </c>
      <c r="L36" s="25" t="s">
        <v>1100</v>
      </c>
      <c r="M36" s="25" t="s">
        <v>1101</v>
      </c>
      <c r="N36" s="24" t="s">
        <v>192</v>
      </c>
      <c r="O36" s="24" t="s">
        <v>56</v>
      </c>
      <c r="P36" s="23" t="s">
        <v>940</v>
      </c>
      <c r="Q36" s="24" t="n">
        <v>10</v>
      </c>
    </row>
    <row r="37" customFormat="false" ht="23.85" hidden="false" customHeight="false" outlineLevel="0" collapsed="false">
      <c r="A37" s="13" t="s">
        <v>1102</v>
      </c>
      <c r="B37" s="27" t="s">
        <v>272</v>
      </c>
      <c r="C37" s="28" t="s">
        <v>273</v>
      </c>
      <c r="D37" s="28" t="str">
        <f aca="false">IFERROR(INDEX(Equipements!$B$6:$B$200,MATCH($B37,Equipements!$A$6:$A$200,0)),"?")</f>
        <v>Chauffage &amp; climatisation</v>
      </c>
      <c r="E37" s="12" t="s">
        <v>1103</v>
      </c>
      <c r="F37" s="27" t="s">
        <v>202</v>
      </c>
      <c r="G37" s="27" t="n">
        <v>12</v>
      </c>
      <c r="H37" s="28" t="s">
        <v>1027</v>
      </c>
      <c r="I37" s="28" t="s">
        <v>1040</v>
      </c>
      <c r="J37" s="27" t="n">
        <v>60</v>
      </c>
      <c r="K37" s="28" t="s">
        <v>112</v>
      </c>
      <c r="L37" s="28" t="s">
        <v>1104</v>
      </c>
      <c r="M37" s="28" t="s">
        <v>1105</v>
      </c>
      <c r="N37" s="27" t="s">
        <v>192</v>
      </c>
      <c r="O37" s="27" t="s">
        <v>58</v>
      </c>
      <c r="P37" s="13" t="s">
        <v>940</v>
      </c>
      <c r="Q37" s="27" t="n">
        <v>0</v>
      </c>
    </row>
    <row r="38" customFormat="false" ht="23.85" hidden="false" customHeight="false" outlineLevel="0" collapsed="false">
      <c r="A38" s="23" t="s">
        <v>1106</v>
      </c>
      <c r="B38" s="24" t="s">
        <v>289</v>
      </c>
      <c r="C38" s="25" t="s">
        <v>290</v>
      </c>
      <c r="D38" s="25" t="str">
        <f aca="false">IFERROR(INDEX(Equipements!$B$6:$B$200,MATCH($B38,Equipements!$A$6:$A$200,0)),"?")</f>
        <v>Maison &amp; securite</v>
      </c>
      <c r="E38" s="26" t="s">
        <v>1107</v>
      </c>
      <c r="F38" s="24" t="s">
        <v>927</v>
      </c>
      <c r="G38" s="24" t="n">
        <v>1</v>
      </c>
      <c r="H38" s="25" t="s">
        <v>928</v>
      </c>
      <c r="I38" s="25" t="s">
        <v>929</v>
      </c>
      <c r="J38" s="24" t="n">
        <v>10</v>
      </c>
      <c r="K38" s="25" t="s">
        <v>1108</v>
      </c>
      <c r="L38" s="25" t="s">
        <v>1109</v>
      </c>
      <c r="M38" s="25" t="s">
        <v>1110</v>
      </c>
      <c r="N38" s="24" t="s">
        <v>192</v>
      </c>
      <c r="O38" s="24" t="s">
        <v>56</v>
      </c>
      <c r="P38" s="23" t="s">
        <v>933</v>
      </c>
      <c r="Q38" s="24" t="n">
        <v>10</v>
      </c>
    </row>
    <row r="39" customFormat="false" ht="23.85" hidden="false" customHeight="false" outlineLevel="0" collapsed="false">
      <c r="A39" s="23" t="s">
        <v>1111</v>
      </c>
      <c r="B39" s="24" t="s">
        <v>289</v>
      </c>
      <c r="C39" s="25" t="s">
        <v>290</v>
      </c>
      <c r="D39" s="25" t="str">
        <f aca="false">IFERROR(INDEX(Equipements!$B$6:$B$200,MATCH($B39,Equipements!$A$6:$A$200,0)),"?")</f>
        <v>Maison &amp; securite</v>
      </c>
      <c r="E39" s="26" t="s">
        <v>1112</v>
      </c>
      <c r="F39" s="24" t="s">
        <v>927</v>
      </c>
      <c r="G39" s="24" t="n">
        <v>12</v>
      </c>
      <c r="H39" s="25" t="s">
        <v>1027</v>
      </c>
      <c r="I39" s="25" t="s">
        <v>929</v>
      </c>
      <c r="J39" s="24" t="n">
        <v>30</v>
      </c>
      <c r="K39" s="25" t="s">
        <v>1113</v>
      </c>
      <c r="L39" s="25" t="s">
        <v>1114</v>
      </c>
      <c r="M39" s="25" t="s">
        <v>1115</v>
      </c>
      <c r="N39" s="24" t="s">
        <v>192</v>
      </c>
      <c r="O39" s="24" t="s">
        <v>58</v>
      </c>
      <c r="P39" s="23" t="s">
        <v>940</v>
      </c>
      <c r="Q39" s="24" t="n">
        <v>30</v>
      </c>
    </row>
    <row r="40" customFormat="false" ht="35.05" hidden="false" customHeight="false" outlineLevel="0" collapsed="false">
      <c r="A40" s="23" t="s">
        <v>1116</v>
      </c>
      <c r="B40" s="24" t="s">
        <v>317</v>
      </c>
      <c r="C40" s="25" t="s">
        <v>319</v>
      </c>
      <c r="D40" s="25" t="str">
        <f aca="false">IFERROR(INDEX(Equipements!$B$6:$B$200,MATCH($B40,Equipements!$A$6:$A$200,0)),"?")</f>
        <v>Chauffage &amp; climatisation</v>
      </c>
      <c r="E40" s="26" t="s">
        <v>1117</v>
      </c>
      <c r="F40" s="24" t="s">
        <v>927</v>
      </c>
      <c r="G40" s="24" t="n">
        <v>6</v>
      </c>
      <c r="H40" s="25" t="s">
        <v>711</v>
      </c>
      <c r="I40" s="25" t="s">
        <v>1021</v>
      </c>
      <c r="J40" s="24" t="n">
        <v>30</v>
      </c>
      <c r="K40" s="25" t="s">
        <v>1118</v>
      </c>
      <c r="L40" s="25" t="s">
        <v>1119</v>
      </c>
      <c r="M40" s="25" t="s">
        <v>1120</v>
      </c>
      <c r="N40" s="24" t="s">
        <v>192</v>
      </c>
      <c r="O40" s="24" t="s">
        <v>56</v>
      </c>
      <c r="P40" s="23" t="s">
        <v>933</v>
      </c>
      <c r="Q40" s="24" t="n">
        <v>30</v>
      </c>
    </row>
    <row r="41" customFormat="false" ht="23.85" hidden="false" customHeight="false" outlineLevel="0" collapsed="false">
      <c r="A41" s="13" t="s">
        <v>1121</v>
      </c>
      <c r="B41" s="27" t="s">
        <v>317</v>
      </c>
      <c r="C41" s="28" t="s">
        <v>319</v>
      </c>
      <c r="D41" s="28" t="str">
        <f aca="false">IFERROR(INDEX(Equipements!$B$6:$B$200,MATCH($B41,Equipements!$A$6:$A$200,0)),"?")</f>
        <v>Chauffage &amp; climatisation</v>
      </c>
      <c r="E41" s="12" t="s">
        <v>1122</v>
      </c>
      <c r="F41" s="27" t="s">
        <v>202</v>
      </c>
      <c r="G41" s="27" t="n">
        <v>24</v>
      </c>
      <c r="H41" s="28" t="s">
        <v>170</v>
      </c>
      <c r="I41" s="28" t="s">
        <v>1123</v>
      </c>
      <c r="J41" s="27" t="n">
        <v>60</v>
      </c>
      <c r="K41" s="28" t="s">
        <v>1124</v>
      </c>
      <c r="L41" s="28" t="s">
        <v>1125</v>
      </c>
      <c r="M41" s="28" t="s">
        <v>1126</v>
      </c>
      <c r="N41" s="27" t="s">
        <v>192</v>
      </c>
      <c r="O41" s="27" t="s">
        <v>58</v>
      </c>
      <c r="P41" s="13" t="s">
        <v>940</v>
      </c>
      <c r="Q41" s="27" t="n">
        <v>0</v>
      </c>
    </row>
    <row r="42" customFormat="false" ht="23.85" hidden="false" customHeight="false" outlineLevel="0" collapsed="false">
      <c r="A42" s="23" t="s">
        <v>1127</v>
      </c>
      <c r="B42" s="24" t="s">
        <v>327</v>
      </c>
      <c r="C42" s="25" t="s">
        <v>328</v>
      </c>
      <c r="D42" s="25" t="str">
        <f aca="false">IFERROR(INDEX(Equipements!$B$6:$B$200,MATCH($B42,Equipements!$A$6:$A$200,0)),"?")</f>
        <v>Chauffage &amp; climatisation</v>
      </c>
      <c r="E42" s="26" t="s">
        <v>1128</v>
      </c>
      <c r="F42" s="24" t="s">
        <v>927</v>
      </c>
      <c r="G42" s="24" t="n">
        <v>4</v>
      </c>
      <c r="H42" s="25" t="s">
        <v>1129</v>
      </c>
      <c r="I42" s="25" t="s">
        <v>929</v>
      </c>
      <c r="J42" s="24" t="n">
        <v>20</v>
      </c>
      <c r="K42" s="25" t="s">
        <v>1130</v>
      </c>
      <c r="L42" s="25" t="s">
        <v>1131</v>
      </c>
      <c r="M42" s="25" t="s">
        <v>1132</v>
      </c>
      <c r="N42" s="24" t="s">
        <v>192</v>
      </c>
      <c r="O42" s="24" t="s">
        <v>56</v>
      </c>
      <c r="P42" s="23" t="s">
        <v>933</v>
      </c>
      <c r="Q42" s="24" t="n">
        <v>20</v>
      </c>
    </row>
    <row r="43" customFormat="false" ht="23.85" hidden="false" customHeight="false" outlineLevel="0" collapsed="false">
      <c r="A43" s="23" t="s">
        <v>1133</v>
      </c>
      <c r="B43" s="24" t="s">
        <v>327</v>
      </c>
      <c r="C43" s="25" t="s">
        <v>328</v>
      </c>
      <c r="D43" s="25" t="str">
        <f aca="false">IFERROR(INDEX(Equipements!$B$6:$B$200,MATCH($B43,Equipements!$A$6:$A$200,0)),"?")</f>
        <v>Chauffage &amp; climatisation</v>
      </c>
      <c r="E43" s="26" t="s">
        <v>1134</v>
      </c>
      <c r="F43" s="24" t="s">
        <v>927</v>
      </c>
      <c r="G43" s="24" t="n">
        <v>12</v>
      </c>
      <c r="H43" s="25" t="s">
        <v>1027</v>
      </c>
      <c r="I43" s="25" t="s">
        <v>1135</v>
      </c>
      <c r="J43" s="24" t="n">
        <v>45</v>
      </c>
      <c r="K43" s="25" t="s">
        <v>1035</v>
      </c>
      <c r="L43" s="25" t="s">
        <v>1136</v>
      </c>
      <c r="M43" s="25" t="s">
        <v>1137</v>
      </c>
      <c r="N43" s="24" t="s">
        <v>192</v>
      </c>
      <c r="O43" s="24" t="s">
        <v>58</v>
      </c>
      <c r="P43" s="23" t="s">
        <v>940</v>
      </c>
      <c r="Q43" s="24" t="n">
        <v>45</v>
      </c>
    </row>
    <row r="44" customFormat="false" ht="23.85" hidden="false" customHeight="false" outlineLevel="0" collapsed="false">
      <c r="A44" s="23" t="s">
        <v>1138</v>
      </c>
      <c r="B44" s="24" t="s">
        <v>335</v>
      </c>
      <c r="C44" s="25" t="s">
        <v>336</v>
      </c>
      <c r="D44" s="25" t="str">
        <f aca="false">IFERROR(INDEX(Equipements!$B$6:$B$200,MATCH($B44,Equipements!$A$6:$A$200,0)),"?")</f>
        <v>Cuisine</v>
      </c>
      <c r="E44" s="26" t="s">
        <v>1139</v>
      </c>
      <c r="F44" s="24" t="s">
        <v>927</v>
      </c>
      <c r="G44" s="24" t="n">
        <v>1</v>
      </c>
      <c r="H44" s="25" t="s">
        <v>928</v>
      </c>
      <c r="I44" s="25" t="s">
        <v>929</v>
      </c>
      <c r="J44" s="24" t="n">
        <v>15</v>
      </c>
      <c r="K44" s="25" t="s">
        <v>1140</v>
      </c>
      <c r="L44" s="25" t="s">
        <v>1141</v>
      </c>
      <c r="M44" s="25" t="s">
        <v>1142</v>
      </c>
      <c r="N44" s="24" t="s">
        <v>192</v>
      </c>
      <c r="O44" s="24" t="s">
        <v>56</v>
      </c>
      <c r="P44" s="23" t="s">
        <v>933</v>
      </c>
      <c r="Q44" s="24" t="n">
        <v>5</v>
      </c>
    </row>
    <row r="45" customFormat="false" ht="23.85" hidden="false" customHeight="false" outlineLevel="0" collapsed="false">
      <c r="A45" s="23" t="s">
        <v>1143</v>
      </c>
      <c r="B45" s="24" t="s">
        <v>335</v>
      </c>
      <c r="C45" s="25" t="s">
        <v>336</v>
      </c>
      <c r="D45" s="25" t="str">
        <f aca="false">IFERROR(INDEX(Equipements!$B$6:$B$200,MATCH($B45,Equipements!$A$6:$A$200,0)),"?")</f>
        <v>Cuisine</v>
      </c>
      <c r="E45" s="26" t="s">
        <v>1144</v>
      </c>
      <c r="F45" s="24" t="s">
        <v>927</v>
      </c>
      <c r="G45" s="24" t="n">
        <v>6</v>
      </c>
      <c r="H45" s="25" t="s">
        <v>1145</v>
      </c>
      <c r="I45" s="25" t="s">
        <v>929</v>
      </c>
      <c r="J45" s="24" t="n">
        <v>10</v>
      </c>
      <c r="K45" s="25" t="s">
        <v>1146</v>
      </c>
      <c r="L45" s="25" t="s">
        <v>1147</v>
      </c>
      <c r="M45" s="25" t="s">
        <v>1148</v>
      </c>
      <c r="N45" s="24" t="s">
        <v>192</v>
      </c>
      <c r="O45" s="24" t="s">
        <v>56</v>
      </c>
      <c r="P45" s="23" t="s">
        <v>940</v>
      </c>
      <c r="Q45" s="24" t="n">
        <v>10</v>
      </c>
    </row>
    <row r="46" customFormat="false" ht="23.85" hidden="false" customHeight="false" outlineLevel="0" collapsed="false">
      <c r="A46" s="23" t="s">
        <v>1149</v>
      </c>
      <c r="B46" s="24" t="s">
        <v>342</v>
      </c>
      <c r="C46" s="25" t="s">
        <v>343</v>
      </c>
      <c r="D46" s="25" t="str">
        <f aca="false">IFERROR(INDEX(Equipements!$B$6:$B$200,MATCH($B46,Equipements!$A$6:$A$200,0)),"?")</f>
        <v>Chauffage &amp; climatisation</v>
      </c>
      <c r="E46" s="26" t="s">
        <v>1150</v>
      </c>
      <c r="F46" s="24" t="s">
        <v>927</v>
      </c>
      <c r="G46" s="24" t="n">
        <v>6</v>
      </c>
      <c r="H46" s="25" t="s">
        <v>711</v>
      </c>
      <c r="I46" s="25" t="s">
        <v>1021</v>
      </c>
      <c r="J46" s="24" t="n">
        <v>15</v>
      </c>
      <c r="K46" s="25" t="s">
        <v>1151</v>
      </c>
      <c r="L46" s="25" t="s">
        <v>1152</v>
      </c>
      <c r="M46" s="25" t="s">
        <v>1153</v>
      </c>
      <c r="N46" s="24" t="s">
        <v>192</v>
      </c>
      <c r="O46" s="24" t="s">
        <v>56</v>
      </c>
      <c r="P46" s="23" t="s">
        <v>940</v>
      </c>
      <c r="Q46" s="24" t="n">
        <v>15</v>
      </c>
    </row>
    <row r="47" customFormat="false" ht="23.85" hidden="false" customHeight="false" outlineLevel="0" collapsed="false">
      <c r="A47" s="23" t="s">
        <v>1154</v>
      </c>
      <c r="B47" s="24" t="s">
        <v>353</v>
      </c>
      <c r="C47" s="25" t="s">
        <v>355</v>
      </c>
      <c r="D47" s="25" t="str">
        <f aca="false">IFERROR(INDEX(Equipements!$B$6:$B$200,MATCH($B47,Equipements!$A$6:$A$200,0)),"?")</f>
        <v>Cuisine</v>
      </c>
      <c r="E47" s="26" t="s">
        <v>1155</v>
      </c>
      <c r="F47" s="24" t="s">
        <v>927</v>
      </c>
      <c r="G47" s="24" t="n">
        <v>6</v>
      </c>
      <c r="H47" s="25" t="s">
        <v>711</v>
      </c>
      <c r="I47" s="25" t="s">
        <v>1021</v>
      </c>
      <c r="J47" s="24" t="n">
        <v>15</v>
      </c>
      <c r="K47" s="25" t="s">
        <v>1156</v>
      </c>
      <c r="L47" s="25" t="s">
        <v>1157</v>
      </c>
      <c r="M47" s="25" t="s">
        <v>1158</v>
      </c>
      <c r="N47" s="24" t="s">
        <v>192</v>
      </c>
      <c r="O47" s="24" t="s">
        <v>56</v>
      </c>
      <c r="P47" s="23" t="s">
        <v>940</v>
      </c>
      <c r="Q47" s="24" t="n">
        <v>15</v>
      </c>
    </row>
    <row r="48" customFormat="false" ht="23.85" hidden="false" customHeight="false" outlineLevel="0" collapsed="false">
      <c r="A48" s="23" t="s">
        <v>1159</v>
      </c>
      <c r="B48" s="24" t="s">
        <v>353</v>
      </c>
      <c r="C48" s="25" t="s">
        <v>355</v>
      </c>
      <c r="D48" s="25" t="str">
        <f aca="false">IFERROR(INDEX(Equipements!$B$6:$B$200,MATCH($B48,Equipements!$A$6:$A$200,0)),"?")</f>
        <v>Cuisine</v>
      </c>
      <c r="E48" s="26" t="s">
        <v>1160</v>
      </c>
      <c r="F48" s="24" t="s">
        <v>927</v>
      </c>
      <c r="G48" s="24" t="n">
        <v>6</v>
      </c>
      <c r="H48" s="25" t="s">
        <v>711</v>
      </c>
      <c r="I48" s="25" t="s">
        <v>1021</v>
      </c>
      <c r="J48" s="24" t="n">
        <v>10</v>
      </c>
      <c r="K48" s="25" t="s">
        <v>1161</v>
      </c>
      <c r="L48" s="25" t="s">
        <v>1162</v>
      </c>
      <c r="M48" s="25" t="s">
        <v>1163</v>
      </c>
      <c r="N48" s="24" t="s">
        <v>192</v>
      </c>
      <c r="O48" s="24" t="s">
        <v>56</v>
      </c>
      <c r="P48" s="23" t="s">
        <v>940</v>
      </c>
      <c r="Q48" s="24" t="n">
        <v>10</v>
      </c>
    </row>
    <row r="49" customFormat="false" ht="23.85" hidden="false" customHeight="false" outlineLevel="0" collapsed="false">
      <c r="A49" s="23" t="s">
        <v>1164</v>
      </c>
      <c r="B49" s="24" t="s">
        <v>353</v>
      </c>
      <c r="C49" s="25" t="s">
        <v>355</v>
      </c>
      <c r="D49" s="25" t="str">
        <f aca="false">IFERROR(INDEX(Equipements!$B$6:$B$200,MATCH($B49,Equipements!$A$6:$A$200,0)),"?")</f>
        <v>Cuisine</v>
      </c>
      <c r="E49" s="26" t="s">
        <v>1165</v>
      </c>
      <c r="F49" s="24" t="s">
        <v>927</v>
      </c>
      <c r="G49" s="24" t="n">
        <v>6</v>
      </c>
      <c r="H49" s="25" t="s">
        <v>711</v>
      </c>
      <c r="I49" s="25" t="s">
        <v>1021</v>
      </c>
      <c r="J49" s="24" t="n">
        <v>10</v>
      </c>
      <c r="K49" s="25" t="s">
        <v>1166</v>
      </c>
      <c r="L49" s="25" t="s">
        <v>1167</v>
      </c>
      <c r="M49" s="25" t="s">
        <v>1168</v>
      </c>
      <c r="N49" s="24" t="s">
        <v>192</v>
      </c>
      <c r="O49" s="24" t="s">
        <v>56</v>
      </c>
      <c r="P49" s="23" t="s">
        <v>940</v>
      </c>
      <c r="Q49" s="24" t="n">
        <v>10</v>
      </c>
    </row>
    <row r="50" customFormat="false" ht="35.05" hidden="false" customHeight="false" outlineLevel="0" collapsed="false">
      <c r="A50" s="23" t="s">
        <v>1169</v>
      </c>
      <c r="B50" s="24" t="s">
        <v>361</v>
      </c>
      <c r="C50" s="25" t="s">
        <v>362</v>
      </c>
      <c r="D50" s="25" t="str">
        <f aca="false">IFERROR(INDEX(Equipements!$B$6:$B$200,MATCH($B50,Equipements!$A$6:$A$200,0)),"?")</f>
        <v>Cuisine</v>
      </c>
      <c r="E50" s="26" t="s">
        <v>1170</v>
      </c>
      <c r="F50" s="24" t="s">
        <v>927</v>
      </c>
      <c r="G50" s="24" t="n">
        <v>12</v>
      </c>
      <c r="H50" s="25" t="s">
        <v>1171</v>
      </c>
      <c r="I50" s="25" t="s">
        <v>1172</v>
      </c>
      <c r="J50" s="24" t="n">
        <v>180</v>
      </c>
      <c r="K50" s="25" t="s">
        <v>1173</v>
      </c>
      <c r="L50" s="25" t="s">
        <v>1174</v>
      </c>
      <c r="M50" s="25" t="s">
        <v>1175</v>
      </c>
      <c r="N50" s="24" t="s">
        <v>192</v>
      </c>
      <c r="O50" s="24" t="s">
        <v>56</v>
      </c>
      <c r="P50" s="23" t="s">
        <v>940</v>
      </c>
      <c r="Q50" s="24" t="n">
        <v>30</v>
      </c>
    </row>
    <row r="51" customFormat="false" ht="23.85" hidden="false" customHeight="false" outlineLevel="0" collapsed="false">
      <c r="A51" s="23" t="s">
        <v>1176</v>
      </c>
      <c r="B51" s="24" t="s">
        <v>368</v>
      </c>
      <c r="C51" s="25" t="s">
        <v>369</v>
      </c>
      <c r="D51" s="25" t="str">
        <f aca="false">IFERROR(INDEX(Equipements!$B$6:$B$200,MATCH($B51,Equipements!$A$6:$A$200,0)),"?")</f>
        <v>Cuisine</v>
      </c>
      <c r="E51" s="26" t="s">
        <v>1177</v>
      </c>
      <c r="F51" s="24" t="s">
        <v>927</v>
      </c>
      <c r="G51" s="24" t="n">
        <v>6</v>
      </c>
      <c r="H51" s="25" t="s">
        <v>711</v>
      </c>
      <c r="I51" s="25" t="s">
        <v>929</v>
      </c>
      <c r="J51" s="24" t="n">
        <v>10</v>
      </c>
      <c r="K51" s="25" t="s">
        <v>1178</v>
      </c>
      <c r="L51" s="25" t="s">
        <v>1179</v>
      </c>
      <c r="M51" s="25" t="s">
        <v>1180</v>
      </c>
      <c r="N51" s="24" t="s">
        <v>192</v>
      </c>
      <c r="O51" s="24" t="s">
        <v>56</v>
      </c>
      <c r="P51" s="23" t="s">
        <v>940</v>
      </c>
      <c r="Q51" s="24" t="n">
        <v>10</v>
      </c>
    </row>
    <row r="52" customFormat="false" ht="23.85" hidden="false" customHeight="false" outlineLevel="0" collapsed="false">
      <c r="A52" s="23" t="s">
        <v>1181</v>
      </c>
      <c r="B52" s="24" t="s">
        <v>383</v>
      </c>
      <c r="C52" s="25" t="s">
        <v>385</v>
      </c>
      <c r="D52" s="25" t="str">
        <f aca="false">IFERROR(INDEX(Equipements!$B$6:$B$200,MATCH($B52,Equipements!$A$6:$A$200,0)),"?")</f>
        <v>Buanderie</v>
      </c>
      <c r="E52" s="26" t="s">
        <v>1182</v>
      </c>
      <c r="F52" s="24" t="s">
        <v>927</v>
      </c>
      <c r="G52" s="24" t="n">
        <v>3</v>
      </c>
      <c r="H52" s="25" t="s">
        <v>1098</v>
      </c>
      <c r="I52" s="25" t="s">
        <v>929</v>
      </c>
      <c r="J52" s="24" t="n">
        <v>15</v>
      </c>
      <c r="K52" s="25" t="s">
        <v>1183</v>
      </c>
      <c r="L52" s="25" t="s">
        <v>1184</v>
      </c>
      <c r="M52" s="25" t="s">
        <v>1185</v>
      </c>
      <c r="N52" s="24" t="s">
        <v>192</v>
      </c>
      <c r="O52" s="24" t="s">
        <v>56</v>
      </c>
      <c r="P52" s="23" t="s">
        <v>933</v>
      </c>
      <c r="Q52" s="24" t="n">
        <v>15</v>
      </c>
    </row>
    <row r="53" customFormat="false" ht="23.85" hidden="false" customHeight="false" outlineLevel="0" collapsed="false">
      <c r="A53" s="23" t="s">
        <v>1186</v>
      </c>
      <c r="B53" s="24" t="s">
        <v>383</v>
      </c>
      <c r="C53" s="25" t="s">
        <v>385</v>
      </c>
      <c r="D53" s="25" t="str">
        <f aca="false">IFERROR(INDEX(Equipements!$B$6:$B$200,MATCH($B53,Equipements!$A$6:$A$200,0)),"?")</f>
        <v>Buanderie</v>
      </c>
      <c r="E53" s="26" t="s">
        <v>1187</v>
      </c>
      <c r="F53" s="24" t="s">
        <v>927</v>
      </c>
      <c r="G53" s="24" t="n">
        <v>1</v>
      </c>
      <c r="H53" s="25" t="s">
        <v>928</v>
      </c>
      <c r="I53" s="25" t="s">
        <v>929</v>
      </c>
      <c r="J53" s="24" t="n">
        <v>10</v>
      </c>
      <c r="K53" s="25" t="s">
        <v>1188</v>
      </c>
      <c r="L53" s="25" t="s">
        <v>1189</v>
      </c>
      <c r="M53" s="25" t="s">
        <v>1190</v>
      </c>
      <c r="N53" s="24" t="s">
        <v>192</v>
      </c>
      <c r="O53" s="24" t="s">
        <v>56</v>
      </c>
      <c r="P53" s="23" t="s">
        <v>940</v>
      </c>
      <c r="Q53" s="24" t="n">
        <v>10</v>
      </c>
    </row>
    <row r="54" customFormat="false" ht="23.85" hidden="false" customHeight="false" outlineLevel="0" collapsed="false">
      <c r="A54" s="23" t="s">
        <v>1191</v>
      </c>
      <c r="B54" s="24" t="s">
        <v>383</v>
      </c>
      <c r="C54" s="25" t="s">
        <v>385</v>
      </c>
      <c r="D54" s="25" t="str">
        <f aca="false">IFERROR(INDEX(Equipements!$B$6:$B$200,MATCH($B54,Equipements!$A$6:$A$200,0)),"?")</f>
        <v>Buanderie</v>
      </c>
      <c r="E54" s="26" t="s">
        <v>1192</v>
      </c>
      <c r="F54" s="24" t="s">
        <v>927</v>
      </c>
      <c r="G54" s="24" t="n">
        <v>6</v>
      </c>
      <c r="H54" s="25" t="s">
        <v>711</v>
      </c>
      <c r="I54" s="25" t="s">
        <v>929</v>
      </c>
      <c r="J54" s="24" t="n">
        <v>120</v>
      </c>
      <c r="K54" s="25" t="s">
        <v>1193</v>
      </c>
      <c r="L54" s="25" t="s">
        <v>1194</v>
      </c>
      <c r="M54" s="25" t="s">
        <v>1195</v>
      </c>
      <c r="N54" s="24" t="s">
        <v>192</v>
      </c>
      <c r="O54" s="24" t="s">
        <v>56</v>
      </c>
      <c r="P54" s="23" t="s">
        <v>940</v>
      </c>
      <c r="Q54" s="24" t="n">
        <v>5</v>
      </c>
    </row>
    <row r="55" customFormat="false" ht="23.85" hidden="false" customHeight="false" outlineLevel="0" collapsed="false">
      <c r="A55" s="23" t="s">
        <v>1196</v>
      </c>
      <c r="B55" s="24" t="s">
        <v>383</v>
      </c>
      <c r="C55" s="25" t="s">
        <v>385</v>
      </c>
      <c r="D55" s="25" t="str">
        <f aca="false">IFERROR(INDEX(Equipements!$B$6:$B$200,MATCH($B55,Equipements!$A$6:$A$200,0)),"?")</f>
        <v>Buanderie</v>
      </c>
      <c r="E55" s="26" t="s">
        <v>1197</v>
      </c>
      <c r="F55" s="24" t="s">
        <v>927</v>
      </c>
      <c r="G55" s="24" t="n">
        <v>60</v>
      </c>
      <c r="H55" s="25" t="s">
        <v>1198</v>
      </c>
      <c r="I55" s="25" t="s">
        <v>929</v>
      </c>
      <c r="J55" s="24" t="n">
        <v>20</v>
      </c>
      <c r="K55" s="25" t="s">
        <v>1199</v>
      </c>
      <c r="L55" s="25" t="s">
        <v>1200</v>
      </c>
      <c r="M55" s="25" t="s">
        <v>1201</v>
      </c>
      <c r="N55" s="24" t="s">
        <v>192</v>
      </c>
      <c r="O55" s="24" t="s">
        <v>56</v>
      </c>
      <c r="P55" s="23" t="s">
        <v>933</v>
      </c>
      <c r="Q55" s="24" t="n">
        <v>20</v>
      </c>
    </row>
    <row r="56" customFormat="false" ht="23.85" hidden="false" customHeight="false" outlineLevel="0" collapsed="false">
      <c r="A56" s="23" t="s">
        <v>1202</v>
      </c>
      <c r="B56" s="24" t="s">
        <v>392</v>
      </c>
      <c r="C56" s="25" t="s">
        <v>393</v>
      </c>
      <c r="D56" s="25" t="str">
        <f aca="false">IFERROR(INDEX(Equipements!$B$6:$B$200,MATCH($B56,Equipements!$A$6:$A$200,0)),"?")</f>
        <v>Buanderie</v>
      </c>
      <c r="E56" s="26" t="s">
        <v>1203</v>
      </c>
      <c r="F56" s="24" t="s">
        <v>927</v>
      </c>
      <c r="G56" s="24" t="n">
        <v>0.03</v>
      </c>
      <c r="H56" s="25" t="s">
        <v>1204</v>
      </c>
      <c r="I56" s="25" t="s">
        <v>929</v>
      </c>
      <c r="J56" s="24" t="n">
        <v>2</v>
      </c>
      <c r="K56" s="25" t="s">
        <v>1029</v>
      </c>
      <c r="L56" s="25" t="s">
        <v>1205</v>
      </c>
      <c r="M56" s="25" t="s">
        <v>1206</v>
      </c>
      <c r="N56" s="24" t="s">
        <v>192</v>
      </c>
      <c r="O56" s="24" t="s">
        <v>56</v>
      </c>
      <c r="P56" s="23" t="s">
        <v>933</v>
      </c>
      <c r="Q56" s="24" t="n">
        <v>2</v>
      </c>
    </row>
    <row r="57" customFormat="false" ht="23.85" hidden="false" customHeight="false" outlineLevel="0" collapsed="false">
      <c r="A57" s="23" t="s">
        <v>1207</v>
      </c>
      <c r="B57" s="24" t="s">
        <v>392</v>
      </c>
      <c r="C57" s="25" t="s">
        <v>393</v>
      </c>
      <c r="D57" s="25" t="str">
        <f aca="false">IFERROR(INDEX(Equipements!$B$6:$B$200,MATCH($B57,Equipements!$A$6:$A$200,0)),"?")</f>
        <v>Buanderie</v>
      </c>
      <c r="E57" s="26" t="s">
        <v>1208</v>
      </c>
      <c r="F57" s="24" t="s">
        <v>927</v>
      </c>
      <c r="G57" s="24" t="n">
        <v>1</v>
      </c>
      <c r="H57" s="25" t="s">
        <v>928</v>
      </c>
      <c r="I57" s="25" t="s">
        <v>929</v>
      </c>
      <c r="J57" s="24" t="n">
        <v>20</v>
      </c>
      <c r="K57" s="25" t="s">
        <v>1209</v>
      </c>
      <c r="L57" s="25" t="s">
        <v>1210</v>
      </c>
      <c r="M57" s="25" t="s">
        <v>1211</v>
      </c>
      <c r="N57" s="24" t="s">
        <v>192</v>
      </c>
      <c r="O57" s="24" t="s">
        <v>56</v>
      </c>
      <c r="P57" s="23" t="s">
        <v>940</v>
      </c>
      <c r="Q57" s="24" t="n">
        <v>20</v>
      </c>
    </row>
    <row r="58" customFormat="false" ht="23.85" hidden="false" customHeight="false" outlineLevel="0" collapsed="false">
      <c r="A58" s="23" t="s">
        <v>1212</v>
      </c>
      <c r="B58" s="24" t="s">
        <v>392</v>
      </c>
      <c r="C58" s="25" t="s">
        <v>393</v>
      </c>
      <c r="D58" s="25" t="str">
        <f aca="false">IFERROR(INDEX(Equipements!$B$6:$B$200,MATCH($B58,Equipements!$A$6:$A$200,0)),"?")</f>
        <v>Buanderie</v>
      </c>
      <c r="E58" s="26" t="s">
        <v>1213</v>
      </c>
      <c r="F58" s="24" t="s">
        <v>927</v>
      </c>
      <c r="G58" s="24" t="n">
        <v>3</v>
      </c>
      <c r="H58" s="25" t="s">
        <v>1214</v>
      </c>
      <c r="I58" s="25" t="s">
        <v>929</v>
      </c>
      <c r="J58" s="24" t="n">
        <v>15</v>
      </c>
      <c r="K58" s="25" t="s">
        <v>1099</v>
      </c>
      <c r="L58" s="25" t="s">
        <v>1215</v>
      </c>
      <c r="M58" s="25" t="s">
        <v>1216</v>
      </c>
      <c r="N58" s="24" t="s">
        <v>192</v>
      </c>
      <c r="O58" s="24" t="s">
        <v>56</v>
      </c>
      <c r="P58" s="23" t="s">
        <v>933</v>
      </c>
      <c r="Q58" s="24" t="n">
        <v>15</v>
      </c>
    </row>
    <row r="59" customFormat="false" ht="23.85" hidden="false" customHeight="false" outlineLevel="0" collapsed="false">
      <c r="A59" s="23" t="s">
        <v>1217</v>
      </c>
      <c r="B59" s="24" t="s">
        <v>398</v>
      </c>
      <c r="C59" s="25" t="s">
        <v>399</v>
      </c>
      <c r="D59" s="25" t="str">
        <f aca="false">IFERROR(INDEX(Equipements!$B$6:$B$200,MATCH($B59,Equipements!$A$6:$A$200,0)),"?")</f>
        <v>Cuisine</v>
      </c>
      <c r="E59" s="26" t="s">
        <v>1218</v>
      </c>
      <c r="F59" s="24" t="s">
        <v>927</v>
      </c>
      <c r="G59" s="24" t="n">
        <v>1</v>
      </c>
      <c r="H59" s="25" t="s">
        <v>928</v>
      </c>
      <c r="I59" s="25" t="s">
        <v>929</v>
      </c>
      <c r="J59" s="24" t="n">
        <v>10</v>
      </c>
      <c r="K59" s="25" t="s">
        <v>1219</v>
      </c>
      <c r="L59" s="25" t="s">
        <v>1220</v>
      </c>
      <c r="M59" s="25" t="s">
        <v>1221</v>
      </c>
      <c r="N59" s="24" t="s">
        <v>192</v>
      </c>
      <c r="O59" s="24" t="s">
        <v>56</v>
      </c>
      <c r="P59" s="23" t="s">
        <v>933</v>
      </c>
      <c r="Q59" s="24" t="n">
        <v>10</v>
      </c>
    </row>
    <row r="60" customFormat="false" ht="23.85" hidden="false" customHeight="false" outlineLevel="0" collapsed="false">
      <c r="A60" s="23" t="s">
        <v>1222</v>
      </c>
      <c r="B60" s="24" t="s">
        <v>398</v>
      </c>
      <c r="C60" s="25" t="s">
        <v>399</v>
      </c>
      <c r="D60" s="25" t="str">
        <f aca="false">IFERROR(INDEX(Equipements!$B$6:$B$200,MATCH($B60,Equipements!$A$6:$A$200,0)),"?")</f>
        <v>Cuisine</v>
      </c>
      <c r="E60" s="26" t="s">
        <v>1223</v>
      </c>
      <c r="F60" s="24" t="s">
        <v>927</v>
      </c>
      <c r="G60" s="24" t="n">
        <v>3</v>
      </c>
      <c r="H60" s="25" t="s">
        <v>1098</v>
      </c>
      <c r="I60" s="25" t="s">
        <v>929</v>
      </c>
      <c r="J60" s="24" t="n">
        <v>15</v>
      </c>
      <c r="K60" s="25" t="s">
        <v>1224</v>
      </c>
      <c r="L60" s="25" t="s">
        <v>1225</v>
      </c>
      <c r="M60" s="25" t="s">
        <v>1226</v>
      </c>
      <c r="N60" s="24" t="s">
        <v>192</v>
      </c>
      <c r="O60" s="24" t="s">
        <v>56</v>
      </c>
      <c r="P60" s="23" t="s">
        <v>940</v>
      </c>
      <c r="Q60" s="24" t="n">
        <v>15</v>
      </c>
    </row>
    <row r="61" customFormat="false" ht="23.85" hidden="false" customHeight="false" outlineLevel="0" collapsed="false">
      <c r="A61" s="23" t="s">
        <v>1227</v>
      </c>
      <c r="B61" s="24" t="s">
        <v>398</v>
      </c>
      <c r="C61" s="25" t="s">
        <v>399</v>
      </c>
      <c r="D61" s="25" t="str">
        <f aca="false">IFERROR(INDEX(Equipements!$B$6:$B$200,MATCH($B61,Equipements!$A$6:$A$200,0)),"?")</f>
        <v>Cuisine</v>
      </c>
      <c r="E61" s="26" t="s">
        <v>1228</v>
      </c>
      <c r="F61" s="24" t="s">
        <v>927</v>
      </c>
      <c r="G61" s="24" t="n">
        <v>2</v>
      </c>
      <c r="H61" s="25" t="s">
        <v>1229</v>
      </c>
      <c r="I61" s="25" t="s">
        <v>929</v>
      </c>
      <c r="J61" s="24" t="n">
        <v>5</v>
      </c>
      <c r="K61" s="25" t="s">
        <v>1230</v>
      </c>
      <c r="L61" s="25" t="s">
        <v>1231</v>
      </c>
      <c r="M61" s="25" t="s">
        <v>1232</v>
      </c>
      <c r="N61" s="24" t="s">
        <v>192</v>
      </c>
      <c r="O61" s="24" t="s">
        <v>56</v>
      </c>
      <c r="P61" s="23" t="s">
        <v>940</v>
      </c>
      <c r="Q61" s="24" t="n">
        <v>5</v>
      </c>
    </row>
    <row r="62" customFormat="false" ht="23.85" hidden="false" customHeight="false" outlineLevel="0" collapsed="false">
      <c r="A62" s="23" t="s">
        <v>1233</v>
      </c>
      <c r="B62" s="24" t="s">
        <v>398</v>
      </c>
      <c r="C62" s="25" t="s">
        <v>399</v>
      </c>
      <c r="D62" s="25" t="str">
        <f aca="false">IFERROR(INDEX(Equipements!$B$6:$B$200,MATCH($B62,Equipements!$A$6:$A$200,0)),"?")</f>
        <v>Cuisine</v>
      </c>
      <c r="E62" s="26" t="s">
        <v>1192</v>
      </c>
      <c r="F62" s="24" t="s">
        <v>927</v>
      </c>
      <c r="G62" s="24" t="n">
        <v>6</v>
      </c>
      <c r="H62" s="25" t="s">
        <v>711</v>
      </c>
      <c r="I62" s="25" t="s">
        <v>929</v>
      </c>
      <c r="J62" s="24" t="n">
        <v>90</v>
      </c>
      <c r="K62" s="25" t="s">
        <v>1234</v>
      </c>
      <c r="L62" s="25" t="s">
        <v>1235</v>
      </c>
      <c r="M62" s="25" t="s">
        <v>1236</v>
      </c>
      <c r="N62" s="24" t="s">
        <v>192</v>
      </c>
      <c r="O62" s="24" t="s">
        <v>56</v>
      </c>
      <c r="P62" s="23" t="s">
        <v>940</v>
      </c>
      <c r="Q62" s="24" t="n">
        <v>5</v>
      </c>
    </row>
    <row r="63" customFormat="false" ht="23.85" hidden="false" customHeight="false" outlineLevel="0" collapsed="false">
      <c r="A63" s="23" t="s">
        <v>1237</v>
      </c>
      <c r="B63" s="24" t="s">
        <v>410</v>
      </c>
      <c r="C63" s="25" t="s">
        <v>412</v>
      </c>
      <c r="D63" s="25" t="str">
        <f aca="false">IFERROR(INDEX(Equipements!$B$6:$B$200,MATCH($B63,Equipements!$A$6:$A$200,0)),"?")</f>
        <v>Cuisine</v>
      </c>
      <c r="E63" s="26" t="s">
        <v>1238</v>
      </c>
      <c r="F63" s="24" t="s">
        <v>927</v>
      </c>
      <c r="G63" s="24" t="n">
        <v>3</v>
      </c>
      <c r="H63" s="25" t="s">
        <v>1098</v>
      </c>
      <c r="I63" s="25" t="s">
        <v>929</v>
      </c>
      <c r="J63" s="24" t="n">
        <v>150</v>
      </c>
      <c r="K63" s="25" t="s">
        <v>1239</v>
      </c>
      <c r="L63" s="25" t="s">
        <v>1240</v>
      </c>
      <c r="M63" s="25" t="s">
        <v>1241</v>
      </c>
      <c r="N63" s="24" t="s">
        <v>192</v>
      </c>
      <c r="O63" s="24" t="s">
        <v>56</v>
      </c>
      <c r="P63" s="23" t="s">
        <v>940</v>
      </c>
      <c r="Q63" s="24" t="n">
        <v>5</v>
      </c>
    </row>
    <row r="64" customFormat="false" ht="23.85" hidden="false" customHeight="false" outlineLevel="0" collapsed="false">
      <c r="A64" s="23" t="s">
        <v>1242</v>
      </c>
      <c r="B64" s="24" t="s">
        <v>410</v>
      </c>
      <c r="C64" s="25" t="s">
        <v>412</v>
      </c>
      <c r="D64" s="25" t="str">
        <f aca="false">IFERROR(INDEX(Equipements!$B$6:$B$200,MATCH($B64,Equipements!$A$6:$A$200,0)),"?")</f>
        <v>Cuisine</v>
      </c>
      <c r="E64" s="26" t="s">
        <v>1243</v>
      </c>
      <c r="F64" s="24" t="s">
        <v>927</v>
      </c>
      <c r="G64" s="24" t="n">
        <v>12</v>
      </c>
      <c r="H64" s="25" t="s">
        <v>1027</v>
      </c>
      <c r="I64" s="25" t="s">
        <v>929</v>
      </c>
      <c r="J64" s="24" t="n">
        <v>5</v>
      </c>
      <c r="K64" s="25" t="s">
        <v>1029</v>
      </c>
      <c r="L64" s="25" t="s">
        <v>1244</v>
      </c>
      <c r="M64" s="25" t="s">
        <v>1245</v>
      </c>
      <c r="N64" s="24" t="s">
        <v>192</v>
      </c>
      <c r="O64" s="24" t="s">
        <v>56</v>
      </c>
      <c r="P64" s="23" t="s">
        <v>940</v>
      </c>
      <c r="Q64" s="24" t="n">
        <v>5</v>
      </c>
    </row>
    <row r="65" customFormat="false" ht="35.05" hidden="false" customHeight="false" outlineLevel="0" collapsed="false">
      <c r="A65" s="17" t="s">
        <v>1246</v>
      </c>
      <c r="B65" s="16" t="s">
        <v>430</v>
      </c>
      <c r="C65" s="19" t="s">
        <v>431</v>
      </c>
      <c r="D65" s="19" t="str">
        <f aca="false">IFERROR(INDEX(Equipements!$B$6:$B$200,MATCH($B65,Equipements!$A$6:$A$200,0)),"?")</f>
        <v>Cuisine</v>
      </c>
      <c r="E65" s="18" t="s">
        <v>1247</v>
      </c>
      <c r="F65" s="16" t="s">
        <v>927</v>
      </c>
      <c r="G65" s="16" t="n">
        <v>12</v>
      </c>
      <c r="H65" s="19" t="s">
        <v>1027</v>
      </c>
      <c r="I65" s="19" t="s">
        <v>929</v>
      </c>
      <c r="J65" s="16" t="n">
        <v>3</v>
      </c>
      <c r="K65" s="19" t="s">
        <v>1029</v>
      </c>
      <c r="L65" s="19" t="s">
        <v>1248</v>
      </c>
      <c r="M65" s="19" t="s">
        <v>1249</v>
      </c>
      <c r="N65" s="17" t="s">
        <v>97</v>
      </c>
      <c r="O65" s="16" t="s">
        <v>56</v>
      </c>
      <c r="P65" s="17" t="s">
        <v>924</v>
      </c>
      <c r="Q65" s="16" t="n">
        <v>3</v>
      </c>
    </row>
    <row r="66" customFormat="false" ht="23.85" hidden="false" customHeight="false" outlineLevel="0" collapsed="false">
      <c r="A66" s="23" t="s">
        <v>1250</v>
      </c>
      <c r="B66" s="24" t="s">
        <v>423</v>
      </c>
      <c r="C66" s="25" t="s">
        <v>424</v>
      </c>
      <c r="D66" s="25" t="str">
        <f aca="false">IFERROR(INDEX(Equipements!$B$6:$B$200,MATCH($B66,Equipements!$A$6:$A$200,0)),"?")</f>
        <v>Cuisine</v>
      </c>
      <c r="E66" s="26" t="s">
        <v>1251</v>
      </c>
      <c r="F66" s="24" t="s">
        <v>927</v>
      </c>
      <c r="G66" s="24" t="n">
        <v>12</v>
      </c>
      <c r="H66" s="25" t="s">
        <v>1027</v>
      </c>
      <c r="I66" s="25" t="s">
        <v>929</v>
      </c>
      <c r="J66" s="24" t="n">
        <v>30</v>
      </c>
      <c r="K66" s="25" t="s">
        <v>1252</v>
      </c>
      <c r="L66" s="25" t="s">
        <v>1253</v>
      </c>
      <c r="M66" s="25" t="s">
        <v>1254</v>
      </c>
      <c r="N66" s="24" t="s">
        <v>192</v>
      </c>
      <c r="O66" s="24" t="s">
        <v>56</v>
      </c>
      <c r="P66" s="23" t="s">
        <v>933</v>
      </c>
      <c r="Q66" s="24" t="n">
        <v>30</v>
      </c>
    </row>
    <row r="67" customFormat="false" ht="23.85" hidden="false" customHeight="false" outlineLevel="0" collapsed="false">
      <c r="A67" s="23" t="s">
        <v>1255</v>
      </c>
      <c r="B67" s="24" t="s">
        <v>448</v>
      </c>
      <c r="C67" s="25" t="s">
        <v>449</v>
      </c>
      <c r="D67" s="25" t="str">
        <f aca="false">IFERROR(INDEX(Equipements!$B$6:$B$200,MATCH($B67,Equipements!$A$6:$A$200,0)),"?")</f>
        <v>Cuisine</v>
      </c>
      <c r="E67" s="26" t="s">
        <v>1256</v>
      </c>
      <c r="F67" s="24" t="s">
        <v>927</v>
      </c>
      <c r="G67" s="24" t="n">
        <v>2</v>
      </c>
      <c r="H67" s="25" t="s">
        <v>1257</v>
      </c>
      <c r="I67" s="25" t="s">
        <v>929</v>
      </c>
      <c r="J67" s="24" t="n">
        <v>30</v>
      </c>
      <c r="K67" s="25" t="s">
        <v>1258</v>
      </c>
      <c r="L67" s="25" t="s">
        <v>1259</v>
      </c>
      <c r="M67" s="25" t="s">
        <v>1260</v>
      </c>
      <c r="N67" s="24" t="s">
        <v>192</v>
      </c>
      <c r="O67" s="24" t="s">
        <v>56</v>
      </c>
      <c r="P67" s="23" t="s">
        <v>933</v>
      </c>
      <c r="Q67" s="24" t="n">
        <v>10</v>
      </c>
    </row>
    <row r="68" customFormat="false" ht="23.85" hidden="false" customHeight="false" outlineLevel="0" collapsed="false">
      <c r="A68" s="23" t="s">
        <v>1261</v>
      </c>
      <c r="B68" s="24" t="s">
        <v>448</v>
      </c>
      <c r="C68" s="25" t="s">
        <v>449</v>
      </c>
      <c r="D68" s="25" t="str">
        <f aca="false">IFERROR(INDEX(Equipements!$B$6:$B$200,MATCH($B68,Equipements!$A$6:$A$200,0)),"?")</f>
        <v>Cuisine</v>
      </c>
      <c r="E68" s="26" t="s">
        <v>1262</v>
      </c>
      <c r="F68" s="24" t="s">
        <v>927</v>
      </c>
      <c r="G68" s="24" t="n">
        <v>0.25</v>
      </c>
      <c r="H68" s="25" t="s">
        <v>1263</v>
      </c>
      <c r="I68" s="25" t="s">
        <v>929</v>
      </c>
      <c r="J68" s="24" t="n">
        <v>15</v>
      </c>
      <c r="K68" s="25" t="s">
        <v>1264</v>
      </c>
      <c r="L68" s="25" t="s">
        <v>1265</v>
      </c>
      <c r="M68" s="25" t="s">
        <v>1266</v>
      </c>
      <c r="N68" s="24" t="s">
        <v>192</v>
      </c>
      <c r="O68" s="24" t="s">
        <v>56</v>
      </c>
      <c r="P68" s="23" t="s">
        <v>940</v>
      </c>
      <c r="Q68" s="24" t="n">
        <v>15</v>
      </c>
    </row>
    <row r="69" customFormat="false" ht="23.85" hidden="false" customHeight="false" outlineLevel="0" collapsed="false">
      <c r="A69" s="23" t="s">
        <v>1267</v>
      </c>
      <c r="B69" s="24" t="s">
        <v>455</v>
      </c>
      <c r="C69" s="25" t="s">
        <v>456</v>
      </c>
      <c r="D69" s="25" t="str">
        <f aca="false">IFERROR(INDEX(Equipements!$B$6:$B$200,MATCH($B69,Equipements!$A$6:$A$200,0)),"?")</f>
        <v>Petit electromenager</v>
      </c>
      <c r="E69" s="26" t="s">
        <v>1268</v>
      </c>
      <c r="F69" s="24" t="s">
        <v>927</v>
      </c>
      <c r="G69" s="24" t="n">
        <v>6</v>
      </c>
      <c r="H69" s="25" t="s">
        <v>711</v>
      </c>
      <c r="I69" s="25" t="s">
        <v>929</v>
      </c>
      <c r="J69" s="24" t="n">
        <v>10</v>
      </c>
      <c r="K69" s="25" t="s">
        <v>1269</v>
      </c>
      <c r="L69" s="25" t="s">
        <v>1270</v>
      </c>
      <c r="M69" s="25" t="s">
        <v>1271</v>
      </c>
      <c r="N69" s="24" t="s">
        <v>192</v>
      </c>
      <c r="O69" s="24" t="s">
        <v>56</v>
      </c>
      <c r="P69" s="23" t="s">
        <v>940</v>
      </c>
      <c r="Q69" s="24" t="n">
        <v>10</v>
      </c>
    </row>
    <row r="70" customFormat="false" ht="23.85" hidden="false" customHeight="false" outlineLevel="0" collapsed="false">
      <c r="A70" s="23" t="s">
        <v>1272</v>
      </c>
      <c r="B70" s="24" t="s">
        <v>462</v>
      </c>
      <c r="C70" s="25" t="s">
        <v>463</v>
      </c>
      <c r="D70" s="25" t="str">
        <f aca="false">IFERROR(INDEX(Equipements!$B$6:$B$200,MATCH($B70,Equipements!$A$6:$A$200,0)),"?")</f>
        <v>Petit electromenager</v>
      </c>
      <c r="E70" s="26" t="s">
        <v>1273</v>
      </c>
      <c r="F70" s="24" t="s">
        <v>927</v>
      </c>
      <c r="G70" s="24" t="n">
        <v>1</v>
      </c>
      <c r="H70" s="25" t="s">
        <v>928</v>
      </c>
      <c r="I70" s="25" t="s">
        <v>929</v>
      </c>
      <c r="J70" s="24" t="n">
        <v>15</v>
      </c>
      <c r="K70" s="25" t="s">
        <v>1274</v>
      </c>
      <c r="L70" s="25" t="s">
        <v>1275</v>
      </c>
      <c r="M70" s="25" t="s">
        <v>1276</v>
      </c>
      <c r="N70" s="24" t="s">
        <v>192</v>
      </c>
      <c r="O70" s="24" t="s">
        <v>56</v>
      </c>
      <c r="P70" s="23" t="s">
        <v>940</v>
      </c>
      <c r="Q70" s="24" t="n">
        <v>15</v>
      </c>
    </row>
    <row r="71" customFormat="false" ht="15" hidden="false" customHeight="false" outlineLevel="0" collapsed="false">
      <c r="A71" s="23" t="s">
        <v>1277</v>
      </c>
      <c r="B71" s="24" t="s">
        <v>491</v>
      </c>
      <c r="C71" s="25" t="s">
        <v>493</v>
      </c>
      <c r="D71" s="25" t="str">
        <f aca="false">IFERROR(INDEX(Equipements!$B$6:$B$200,MATCH($B71,Equipements!$A$6:$A$200,0)),"?")</f>
        <v>Maison &amp; securite</v>
      </c>
      <c r="E71" s="26" t="s">
        <v>1278</v>
      </c>
      <c r="F71" s="24" t="s">
        <v>927</v>
      </c>
      <c r="G71" s="24" t="n">
        <v>6</v>
      </c>
      <c r="H71" s="25" t="s">
        <v>711</v>
      </c>
      <c r="I71" s="25" t="s">
        <v>929</v>
      </c>
      <c r="J71" s="24" t="n">
        <v>20</v>
      </c>
      <c r="K71" s="25" t="s">
        <v>1279</v>
      </c>
      <c r="L71" s="25" t="s">
        <v>1280</v>
      </c>
      <c r="M71" s="25" t="s">
        <v>1281</v>
      </c>
      <c r="N71" s="24" t="s">
        <v>192</v>
      </c>
      <c r="O71" s="24" t="s">
        <v>56</v>
      </c>
      <c r="P71" s="23" t="s">
        <v>940</v>
      </c>
      <c r="Q71" s="24" t="n">
        <v>5</v>
      </c>
    </row>
    <row r="72" customFormat="false" ht="35.05" hidden="false" customHeight="false" outlineLevel="0" collapsed="false">
      <c r="A72" s="23" t="s">
        <v>1282</v>
      </c>
      <c r="B72" s="24" t="s">
        <v>491</v>
      </c>
      <c r="C72" s="25" t="s">
        <v>493</v>
      </c>
      <c r="D72" s="25" t="str">
        <f aca="false">IFERROR(INDEX(Equipements!$B$6:$B$200,MATCH($B72,Equipements!$A$6:$A$200,0)),"?")</f>
        <v>Maison &amp; securite</v>
      </c>
      <c r="E72" s="26" t="s">
        <v>1283</v>
      </c>
      <c r="F72" s="24" t="s">
        <v>927</v>
      </c>
      <c r="G72" s="24" t="n">
        <v>12</v>
      </c>
      <c r="H72" s="25" t="s">
        <v>1027</v>
      </c>
      <c r="I72" s="25" t="s">
        <v>929</v>
      </c>
      <c r="J72" s="24" t="n">
        <v>15</v>
      </c>
      <c r="K72" s="25" t="s">
        <v>1029</v>
      </c>
      <c r="L72" s="25" t="s">
        <v>1284</v>
      </c>
      <c r="M72" s="25" t="s">
        <v>1285</v>
      </c>
      <c r="N72" s="24" t="s">
        <v>192</v>
      </c>
      <c r="O72" s="24" t="s">
        <v>56</v>
      </c>
      <c r="P72" s="23" t="s">
        <v>940</v>
      </c>
      <c r="Q72" s="24" t="n">
        <v>15</v>
      </c>
    </row>
    <row r="73" customFormat="false" ht="23.85" hidden="false" customHeight="false" outlineLevel="0" collapsed="false">
      <c r="A73" s="13" t="s">
        <v>1286</v>
      </c>
      <c r="B73" s="27" t="s">
        <v>504</v>
      </c>
      <c r="C73" s="28" t="s">
        <v>505</v>
      </c>
      <c r="D73" s="28" t="str">
        <f aca="false">IFERROR(INDEX(Equipements!$B$6:$B$200,MATCH($B73,Equipements!$A$6:$A$200,0)),"?")</f>
        <v>Maison &amp; securite</v>
      </c>
      <c r="E73" s="12" t="s">
        <v>1287</v>
      </c>
      <c r="F73" s="27" t="s">
        <v>202</v>
      </c>
      <c r="G73" s="27" t="n">
        <v>12</v>
      </c>
      <c r="H73" s="28" t="s">
        <v>1027</v>
      </c>
      <c r="I73" s="28" t="s">
        <v>1040</v>
      </c>
      <c r="J73" s="27" t="n">
        <v>30</v>
      </c>
      <c r="K73" s="28" t="s">
        <v>1288</v>
      </c>
      <c r="L73" s="28" t="s">
        <v>1289</v>
      </c>
      <c r="M73" s="28" t="s">
        <v>1290</v>
      </c>
      <c r="N73" s="27" t="s">
        <v>225</v>
      </c>
      <c r="O73" s="27" t="s">
        <v>58</v>
      </c>
      <c r="P73" s="13" t="s">
        <v>933</v>
      </c>
      <c r="Q73" s="27" t="n">
        <v>0</v>
      </c>
    </row>
    <row r="74" customFormat="false" ht="23.85" hidden="false" customHeight="false" outlineLevel="0" collapsed="false">
      <c r="A74" s="23" t="s">
        <v>1291</v>
      </c>
      <c r="B74" s="24" t="s">
        <v>528</v>
      </c>
      <c r="C74" s="25" t="s">
        <v>529</v>
      </c>
      <c r="D74" s="25" t="str">
        <f aca="false">IFERROR(INDEX(Equipements!$B$6:$B$200,MATCH($B74,Equipements!$A$6:$A$200,0)),"?")</f>
        <v>Maison &amp; securite</v>
      </c>
      <c r="E74" s="26" t="s">
        <v>1292</v>
      </c>
      <c r="F74" s="24" t="s">
        <v>927</v>
      </c>
      <c r="G74" s="24" t="n">
        <v>6</v>
      </c>
      <c r="H74" s="25" t="s">
        <v>1293</v>
      </c>
      <c r="I74" s="25" t="s">
        <v>1021</v>
      </c>
      <c r="J74" s="24" t="n">
        <v>45</v>
      </c>
      <c r="K74" s="25" t="s">
        <v>1294</v>
      </c>
      <c r="L74" s="25" t="s">
        <v>1295</v>
      </c>
      <c r="M74" s="25" t="s">
        <v>1296</v>
      </c>
      <c r="N74" s="24" t="s">
        <v>225</v>
      </c>
      <c r="O74" s="24" t="s">
        <v>56</v>
      </c>
      <c r="P74" s="23" t="s">
        <v>940</v>
      </c>
      <c r="Q74" s="24" t="n">
        <v>45</v>
      </c>
    </row>
    <row r="75" customFormat="false" ht="23.85" hidden="false" customHeight="false" outlineLevel="0" collapsed="false">
      <c r="A75" s="23" t="s">
        <v>1297</v>
      </c>
      <c r="B75" s="24" t="s">
        <v>511</v>
      </c>
      <c r="C75" s="25" t="s">
        <v>512</v>
      </c>
      <c r="D75" s="25" t="str">
        <f aca="false">IFERROR(INDEX(Equipements!$B$6:$B$200,MATCH($B75,Equipements!$A$6:$A$200,0)),"?")</f>
        <v>Maison &amp; securite</v>
      </c>
      <c r="E75" s="26" t="s">
        <v>1298</v>
      </c>
      <c r="F75" s="24" t="s">
        <v>927</v>
      </c>
      <c r="G75" s="24" t="n">
        <v>12</v>
      </c>
      <c r="H75" s="25" t="s">
        <v>1027</v>
      </c>
      <c r="I75" s="25" t="s">
        <v>1040</v>
      </c>
      <c r="J75" s="24" t="n">
        <v>20</v>
      </c>
      <c r="K75" s="25" t="s">
        <v>1299</v>
      </c>
      <c r="L75" s="25" t="s">
        <v>1300</v>
      </c>
      <c r="M75" s="25" t="s">
        <v>1301</v>
      </c>
      <c r="N75" s="24" t="s">
        <v>192</v>
      </c>
      <c r="O75" s="24" t="s">
        <v>56</v>
      </c>
      <c r="P75" s="23" t="s">
        <v>933</v>
      </c>
      <c r="Q75" s="24" t="n">
        <v>20</v>
      </c>
    </row>
    <row r="76" customFormat="false" ht="35.05" hidden="false" customHeight="false" outlineLevel="0" collapsed="false">
      <c r="A76" s="17" t="s">
        <v>1302</v>
      </c>
      <c r="B76" s="16" t="s">
        <v>550</v>
      </c>
      <c r="C76" s="19" t="s">
        <v>552</v>
      </c>
      <c r="D76" s="19" t="str">
        <f aca="false">IFERROR(INDEX(Equipements!$B$6:$B$200,MATCH($B76,Equipements!$A$6:$A$200,0)),"?")</f>
        <v>Maison &amp; securite</v>
      </c>
      <c r="E76" s="18" t="s">
        <v>1303</v>
      </c>
      <c r="F76" s="16" t="s">
        <v>202</v>
      </c>
      <c r="G76" s="16" t="n">
        <v>48</v>
      </c>
      <c r="H76" s="19" t="s">
        <v>1304</v>
      </c>
      <c r="I76" s="19" t="s">
        <v>1305</v>
      </c>
      <c r="J76" s="16" t="n">
        <v>120</v>
      </c>
      <c r="K76" s="19" t="s">
        <v>1306</v>
      </c>
      <c r="L76" s="19" t="s">
        <v>1307</v>
      </c>
      <c r="M76" s="19" t="s">
        <v>1308</v>
      </c>
      <c r="N76" s="17" t="s">
        <v>97</v>
      </c>
      <c r="O76" s="16" t="s">
        <v>56</v>
      </c>
      <c r="P76" s="17" t="s">
        <v>924</v>
      </c>
      <c r="Q76" s="16" t="n">
        <v>0</v>
      </c>
    </row>
    <row r="77" customFormat="false" ht="23.85" hidden="false" customHeight="false" outlineLevel="0" collapsed="false">
      <c r="A77" s="17" t="s">
        <v>1309</v>
      </c>
      <c r="B77" s="16" t="s">
        <v>550</v>
      </c>
      <c r="C77" s="19" t="s">
        <v>552</v>
      </c>
      <c r="D77" s="19" t="str">
        <f aca="false">IFERROR(INDEX(Equipements!$B$6:$B$200,MATCH($B77,Equipements!$A$6:$A$200,0)),"?")</f>
        <v>Maison &amp; securite</v>
      </c>
      <c r="E77" s="18" t="s">
        <v>1310</v>
      </c>
      <c r="F77" s="16" t="s">
        <v>927</v>
      </c>
      <c r="G77" s="16" t="n">
        <v>120</v>
      </c>
      <c r="H77" s="19" t="s">
        <v>1311</v>
      </c>
      <c r="I77" s="19" t="s">
        <v>1312</v>
      </c>
      <c r="J77" s="16" t="n">
        <v>60</v>
      </c>
      <c r="K77" s="19" t="s">
        <v>1313</v>
      </c>
      <c r="L77" s="19" t="s">
        <v>1314</v>
      </c>
      <c r="M77" s="19" t="s">
        <v>1315</v>
      </c>
      <c r="N77" s="17" t="s">
        <v>97</v>
      </c>
      <c r="O77" s="16" t="s">
        <v>58</v>
      </c>
      <c r="P77" s="17" t="s">
        <v>924</v>
      </c>
      <c r="Q77" s="16" t="n">
        <v>60</v>
      </c>
    </row>
    <row r="78" customFormat="false" ht="23.85" hidden="false" customHeight="false" outlineLevel="0" collapsed="false">
      <c r="A78" s="23" t="s">
        <v>1316</v>
      </c>
      <c r="B78" s="24" t="s">
        <v>571</v>
      </c>
      <c r="C78" s="25" t="s">
        <v>572</v>
      </c>
      <c r="D78" s="25" t="str">
        <f aca="false">IFERROR(INDEX(Equipements!$B$6:$B$200,MATCH($B78,Equipements!$A$6:$A$200,0)),"?")</f>
        <v>Maison &amp; securite</v>
      </c>
      <c r="E78" s="26" t="s">
        <v>1317</v>
      </c>
      <c r="F78" s="24" t="s">
        <v>927</v>
      </c>
      <c r="G78" s="24" t="n">
        <v>6</v>
      </c>
      <c r="H78" s="25" t="s">
        <v>711</v>
      </c>
      <c r="I78" s="25" t="s">
        <v>1021</v>
      </c>
      <c r="J78" s="24" t="n">
        <v>30</v>
      </c>
      <c r="K78" s="25" t="s">
        <v>1318</v>
      </c>
      <c r="L78" s="25" t="s">
        <v>1319</v>
      </c>
      <c r="M78" s="25" t="s">
        <v>1320</v>
      </c>
      <c r="N78" s="24" t="s">
        <v>192</v>
      </c>
      <c r="O78" s="24" t="s">
        <v>56</v>
      </c>
      <c r="P78" s="23" t="s">
        <v>933</v>
      </c>
      <c r="Q78" s="24" t="n">
        <v>30</v>
      </c>
    </row>
    <row r="79" customFormat="false" ht="23.85" hidden="false" customHeight="false" outlineLevel="0" collapsed="false">
      <c r="A79" s="23" t="s">
        <v>1321</v>
      </c>
      <c r="B79" s="24" t="s">
        <v>575</v>
      </c>
      <c r="C79" s="25" t="s">
        <v>576</v>
      </c>
      <c r="D79" s="25" t="str">
        <f aca="false">IFERROR(INDEX(Equipements!$B$6:$B$200,MATCH($B79,Equipements!$A$6:$A$200,0)),"?")</f>
        <v>Maison &amp; securite</v>
      </c>
      <c r="E79" s="26" t="s">
        <v>1322</v>
      </c>
      <c r="F79" s="24" t="s">
        <v>927</v>
      </c>
      <c r="G79" s="24" t="n">
        <v>6</v>
      </c>
      <c r="H79" s="25" t="s">
        <v>711</v>
      </c>
      <c r="I79" s="25" t="s">
        <v>1021</v>
      </c>
      <c r="J79" s="24" t="n">
        <v>30</v>
      </c>
      <c r="K79" s="25" t="s">
        <v>1323</v>
      </c>
      <c r="L79" s="25" t="s">
        <v>1324</v>
      </c>
      <c r="M79" s="25" t="s">
        <v>1325</v>
      </c>
      <c r="N79" s="24" t="s">
        <v>192</v>
      </c>
      <c r="O79" s="24" t="s">
        <v>56</v>
      </c>
      <c r="P79" s="23" t="s">
        <v>933</v>
      </c>
      <c r="Q79" s="24" t="n">
        <v>30</v>
      </c>
    </row>
    <row r="80" customFormat="false" ht="23.85" hidden="false" customHeight="false" outlineLevel="0" collapsed="false">
      <c r="A80" s="17" t="s">
        <v>1326</v>
      </c>
      <c r="B80" s="16" t="s">
        <v>561</v>
      </c>
      <c r="C80" s="19" t="s">
        <v>562</v>
      </c>
      <c r="D80" s="19" t="str">
        <f aca="false">IFERROR(INDEX(Equipements!$B$6:$B$200,MATCH($B80,Equipements!$A$6:$A$200,0)),"?")</f>
        <v>Maison &amp; securite</v>
      </c>
      <c r="E80" s="18" t="s">
        <v>1327</v>
      </c>
      <c r="F80" s="16" t="s">
        <v>202</v>
      </c>
      <c r="G80" s="16" t="n">
        <v>12</v>
      </c>
      <c r="H80" s="19" t="s">
        <v>1328</v>
      </c>
      <c r="I80" s="19" t="s">
        <v>929</v>
      </c>
      <c r="J80" s="16" t="n">
        <v>60</v>
      </c>
      <c r="K80" s="19" t="s">
        <v>1072</v>
      </c>
      <c r="L80" s="19" t="s">
        <v>1329</v>
      </c>
      <c r="M80" s="19" t="s">
        <v>1330</v>
      </c>
      <c r="N80" s="17" t="s">
        <v>97</v>
      </c>
      <c r="O80" s="16" t="s">
        <v>56</v>
      </c>
      <c r="P80" s="17" t="s">
        <v>924</v>
      </c>
      <c r="Q80" s="16" t="n">
        <v>0</v>
      </c>
    </row>
    <row r="81" customFormat="false" ht="35.05" hidden="false" customHeight="false" outlineLevel="0" collapsed="false">
      <c r="A81" s="23" t="s">
        <v>1331</v>
      </c>
      <c r="B81" s="24" t="s">
        <v>585</v>
      </c>
      <c r="C81" s="25" t="s">
        <v>586</v>
      </c>
      <c r="D81" s="25" t="str">
        <f aca="false">IFERROR(INDEX(Equipements!$B$6:$B$200,MATCH($B81,Equipements!$A$6:$A$200,0)),"?")</f>
        <v>Energie</v>
      </c>
      <c r="E81" s="26" t="s">
        <v>1332</v>
      </c>
      <c r="F81" s="24" t="s">
        <v>927</v>
      </c>
      <c r="G81" s="24" t="n">
        <v>6</v>
      </c>
      <c r="H81" s="25" t="s">
        <v>711</v>
      </c>
      <c r="I81" s="25" t="s">
        <v>1021</v>
      </c>
      <c r="J81" s="24" t="n">
        <v>15</v>
      </c>
      <c r="K81" s="25" t="s">
        <v>1333</v>
      </c>
      <c r="L81" s="25" t="s">
        <v>1334</v>
      </c>
      <c r="M81" s="25" t="s">
        <v>1335</v>
      </c>
      <c r="N81" s="24" t="s">
        <v>192</v>
      </c>
      <c r="O81" s="24" t="s">
        <v>56</v>
      </c>
      <c r="P81" s="23" t="s">
        <v>940</v>
      </c>
      <c r="Q81" s="24" t="n">
        <v>15</v>
      </c>
    </row>
    <row r="82" customFormat="false" ht="23.85" hidden="false" customHeight="false" outlineLevel="0" collapsed="false">
      <c r="A82" s="13" t="s">
        <v>1336</v>
      </c>
      <c r="B82" s="27" t="s">
        <v>585</v>
      </c>
      <c r="C82" s="28" t="s">
        <v>586</v>
      </c>
      <c r="D82" s="28" t="str">
        <f aca="false">IFERROR(INDEX(Equipements!$B$6:$B$200,MATCH($B82,Equipements!$A$6:$A$200,0)),"?")</f>
        <v>Energie</v>
      </c>
      <c r="E82" s="12" t="s">
        <v>1337</v>
      </c>
      <c r="F82" s="27" t="s">
        <v>202</v>
      </c>
      <c r="G82" s="27" t="n">
        <v>18</v>
      </c>
      <c r="H82" s="28" t="s">
        <v>1338</v>
      </c>
      <c r="I82" s="28" t="s">
        <v>1339</v>
      </c>
      <c r="J82" s="27" t="n">
        <v>90</v>
      </c>
      <c r="K82" s="28" t="s">
        <v>1340</v>
      </c>
      <c r="L82" s="28" t="s">
        <v>1341</v>
      </c>
      <c r="M82" s="28" t="s">
        <v>1342</v>
      </c>
      <c r="N82" s="27" t="s">
        <v>192</v>
      </c>
      <c r="O82" s="27" t="s">
        <v>60</v>
      </c>
      <c r="P82" s="13" t="s">
        <v>940</v>
      </c>
      <c r="Q82" s="27" t="n">
        <v>0</v>
      </c>
    </row>
    <row r="83" customFormat="false" ht="23.85" hidden="false" customHeight="false" outlineLevel="0" collapsed="false">
      <c r="A83" s="23" t="s">
        <v>1343</v>
      </c>
      <c r="B83" s="24" t="s">
        <v>592</v>
      </c>
      <c r="C83" s="25" t="s">
        <v>593</v>
      </c>
      <c r="D83" s="25" t="str">
        <f aca="false">IFERROR(INDEX(Equipements!$B$6:$B$200,MATCH($B83,Equipements!$A$6:$A$200,0)),"?")</f>
        <v>Energie</v>
      </c>
      <c r="E83" s="26" t="s">
        <v>1344</v>
      </c>
      <c r="F83" s="24" t="s">
        <v>927</v>
      </c>
      <c r="G83" s="24" t="n">
        <v>1</v>
      </c>
      <c r="H83" s="25" t="s">
        <v>928</v>
      </c>
      <c r="I83" s="25" t="s">
        <v>929</v>
      </c>
      <c r="J83" s="24" t="n">
        <v>10</v>
      </c>
      <c r="K83" s="25" t="s">
        <v>1345</v>
      </c>
      <c r="L83" s="25" t="s">
        <v>1346</v>
      </c>
      <c r="M83" s="25" t="s">
        <v>1347</v>
      </c>
      <c r="N83" s="24" t="s">
        <v>192</v>
      </c>
      <c r="O83" s="24" t="s">
        <v>56</v>
      </c>
      <c r="P83" s="23" t="s">
        <v>940</v>
      </c>
      <c r="Q83" s="24" t="n">
        <v>10</v>
      </c>
    </row>
    <row r="84" customFormat="false" ht="23.85" hidden="false" customHeight="false" outlineLevel="0" collapsed="false">
      <c r="A84" s="13" t="s">
        <v>1348</v>
      </c>
      <c r="B84" s="27" t="s">
        <v>605</v>
      </c>
      <c r="C84" s="28" t="s">
        <v>606</v>
      </c>
      <c r="D84" s="28" t="str">
        <f aca="false">IFERROR(INDEX(Equipements!$B$6:$B$200,MATCH($B84,Equipements!$A$6:$A$200,0)),"?")</f>
        <v>Energie</v>
      </c>
      <c r="E84" s="12" t="s">
        <v>1349</v>
      </c>
      <c r="F84" s="27" t="s">
        <v>202</v>
      </c>
      <c r="G84" s="27" t="n">
        <v>12</v>
      </c>
      <c r="H84" s="28" t="s">
        <v>1027</v>
      </c>
      <c r="I84" s="28" t="s">
        <v>929</v>
      </c>
      <c r="J84" s="27" t="n">
        <v>45</v>
      </c>
      <c r="K84" s="28" t="s">
        <v>1350</v>
      </c>
      <c r="L84" s="28" t="s">
        <v>1351</v>
      </c>
      <c r="M84" s="28" t="s">
        <v>1352</v>
      </c>
      <c r="N84" s="27" t="s">
        <v>192</v>
      </c>
      <c r="O84" s="27" t="s">
        <v>58</v>
      </c>
      <c r="P84" s="13" t="s">
        <v>933</v>
      </c>
      <c r="Q84" s="27" t="n">
        <v>0</v>
      </c>
    </row>
    <row r="85" customFormat="false" ht="35.05" hidden="false" customHeight="false" outlineLevel="0" collapsed="false">
      <c r="A85" s="23" t="s">
        <v>1353</v>
      </c>
      <c r="B85" s="24" t="s">
        <v>612</v>
      </c>
      <c r="C85" s="25" t="s">
        <v>613</v>
      </c>
      <c r="D85" s="25" t="str">
        <f aca="false">IFERROR(INDEX(Equipements!$B$6:$B$200,MATCH($B85,Equipements!$A$6:$A$200,0)),"?")</f>
        <v>Energie</v>
      </c>
      <c r="E85" s="26" t="s">
        <v>1354</v>
      </c>
      <c r="F85" s="24" t="s">
        <v>927</v>
      </c>
      <c r="G85" s="24" t="n">
        <v>1</v>
      </c>
      <c r="H85" s="25" t="s">
        <v>928</v>
      </c>
      <c r="I85" s="25" t="s">
        <v>929</v>
      </c>
      <c r="J85" s="24" t="n">
        <v>5</v>
      </c>
      <c r="K85" s="25" t="s">
        <v>1029</v>
      </c>
      <c r="L85" s="25" t="s">
        <v>1355</v>
      </c>
      <c r="M85" s="25" t="s">
        <v>1356</v>
      </c>
      <c r="N85" s="24" t="s">
        <v>192</v>
      </c>
      <c r="O85" s="24" t="s">
        <v>56</v>
      </c>
      <c r="P85" s="23" t="s">
        <v>933</v>
      </c>
      <c r="Q85" s="24" t="n">
        <v>5</v>
      </c>
    </row>
    <row r="86" customFormat="false" ht="23.85" hidden="false" customHeight="false" outlineLevel="0" collapsed="false">
      <c r="A86" s="23" t="s">
        <v>1357</v>
      </c>
      <c r="B86" s="24" t="s">
        <v>632</v>
      </c>
      <c r="C86" s="25" t="s">
        <v>633</v>
      </c>
      <c r="D86" s="25" t="str">
        <f aca="false">IFERROR(INDEX(Equipements!$B$6:$B$200,MATCH($B86,Equipements!$A$6:$A$200,0)),"?")</f>
        <v>Energie</v>
      </c>
      <c r="E86" s="26" t="s">
        <v>1358</v>
      </c>
      <c r="F86" s="24" t="s">
        <v>927</v>
      </c>
      <c r="G86" s="24" t="n">
        <v>1</v>
      </c>
      <c r="H86" s="25" t="s">
        <v>928</v>
      </c>
      <c r="I86" s="25" t="s">
        <v>929</v>
      </c>
      <c r="J86" s="24" t="n">
        <v>20</v>
      </c>
      <c r="K86" s="25" t="s">
        <v>1359</v>
      </c>
      <c r="L86" s="25" t="s">
        <v>1360</v>
      </c>
      <c r="M86" s="25" t="s">
        <v>1361</v>
      </c>
      <c r="N86" s="24" t="s">
        <v>192</v>
      </c>
      <c r="O86" s="24" t="s">
        <v>56</v>
      </c>
      <c r="P86" s="23" t="s">
        <v>940</v>
      </c>
      <c r="Q86" s="24" t="n">
        <v>20</v>
      </c>
    </row>
    <row r="87" customFormat="false" ht="23.85" hidden="false" customHeight="false" outlineLevel="0" collapsed="false">
      <c r="A87" s="17" t="s">
        <v>1362</v>
      </c>
      <c r="B87" s="16" t="s">
        <v>638</v>
      </c>
      <c r="C87" s="19" t="s">
        <v>640</v>
      </c>
      <c r="D87" s="19" t="str">
        <f aca="false">IFERROR(INDEX(Equipements!$B$6:$B$200,MATCH($B87,Equipements!$A$6:$A$200,0)),"?")</f>
        <v>Maison &amp; securite</v>
      </c>
      <c r="E87" s="18" t="s">
        <v>1363</v>
      </c>
      <c r="F87" s="16" t="s">
        <v>927</v>
      </c>
      <c r="G87" s="16" t="n">
        <v>1</v>
      </c>
      <c r="H87" s="19" t="s">
        <v>928</v>
      </c>
      <c r="I87" s="19" t="s">
        <v>929</v>
      </c>
      <c r="J87" s="16" t="n">
        <v>2</v>
      </c>
      <c r="K87" s="19" t="s">
        <v>1029</v>
      </c>
      <c r="L87" s="19" t="s">
        <v>1364</v>
      </c>
      <c r="M87" s="19" t="s">
        <v>1365</v>
      </c>
      <c r="N87" s="17" t="s">
        <v>97</v>
      </c>
      <c r="O87" s="16" t="s">
        <v>56</v>
      </c>
      <c r="P87" s="17" t="s">
        <v>924</v>
      </c>
      <c r="Q87" s="16" t="n">
        <v>2</v>
      </c>
    </row>
    <row r="88" customFormat="false" ht="46.25" hidden="false" customHeight="false" outlineLevel="0" collapsed="false">
      <c r="A88" s="17" t="s">
        <v>1366</v>
      </c>
      <c r="B88" s="16" t="s">
        <v>638</v>
      </c>
      <c r="C88" s="19" t="s">
        <v>640</v>
      </c>
      <c r="D88" s="19" t="str">
        <f aca="false">IFERROR(INDEX(Equipements!$B$6:$B$200,MATCH($B88,Equipements!$A$6:$A$200,0)),"?")</f>
        <v>Maison &amp; securite</v>
      </c>
      <c r="E88" s="18" t="s">
        <v>1367</v>
      </c>
      <c r="F88" s="16" t="s">
        <v>927</v>
      </c>
      <c r="G88" s="16" t="n">
        <v>120</v>
      </c>
      <c r="H88" s="19" t="s">
        <v>1368</v>
      </c>
      <c r="I88" s="19" t="s">
        <v>1369</v>
      </c>
      <c r="J88" s="16" t="n">
        <v>15</v>
      </c>
      <c r="K88" s="19" t="s">
        <v>1370</v>
      </c>
      <c r="L88" s="19" t="s">
        <v>1371</v>
      </c>
      <c r="M88" s="19" t="s">
        <v>1372</v>
      </c>
      <c r="N88" s="17" t="s">
        <v>97</v>
      </c>
      <c r="O88" s="16" t="s">
        <v>56</v>
      </c>
      <c r="P88" s="17" t="s">
        <v>924</v>
      </c>
      <c r="Q88" s="16" t="n">
        <v>15</v>
      </c>
    </row>
    <row r="89" customFormat="false" ht="23.85" hidden="false" customHeight="false" outlineLevel="0" collapsed="false">
      <c r="A89" s="23" t="s">
        <v>1373</v>
      </c>
      <c r="B89" s="24" t="s">
        <v>649</v>
      </c>
      <c r="C89" s="25" t="s">
        <v>650</v>
      </c>
      <c r="D89" s="25" t="str">
        <f aca="false">IFERROR(INDEX(Equipements!$B$6:$B$200,MATCH($B89,Equipements!$A$6:$A$200,0)),"?")</f>
        <v>Maison &amp; securite</v>
      </c>
      <c r="E89" s="26" t="s">
        <v>1374</v>
      </c>
      <c r="F89" s="24" t="s">
        <v>927</v>
      </c>
      <c r="G89" s="24" t="n">
        <v>1</v>
      </c>
      <c r="H89" s="25" t="s">
        <v>928</v>
      </c>
      <c r="I89" s="25" t="s">
        <v>929</v>
      </c>
      <c r="J89" s="24" t="n">
        <v>2</v>
      </c>
      <c r="K89" s="25" t="s">
        <v>1029</v>
      </c>
      <c r="L89" s="25" t="s">
        <v>1375</v>
      </c>
      <c r="M89" s="25" t="s">
        <v>1376</v>
      </c>
      <c r="N89" s="24" t="s">
        <v>192</v>
      </c>
      <c r="O89" s="24" t="s">
        <v>56</v>
      </c>
      <c r="P89" s="23" t="s">
        <v>933</v>
      </c>
      <c r="Q89" s="24" t="n">
        <v>2</v>
      </c>
    </row>
    <row r="90" customFormat="false" ht="23.85" hidden="false" customHeight="false" outlineLevel="0" collapsed="false">
      <c r="A90" s="23" t="s">
        <v>1377</v>
      </c>
      <c r="B90" s="24" t="s">
        <v>668</v>
      </c>
      <c r="C90" s="25" t="s">
        <v>669</v>
      </c>
      <c r="D90" s="25" t="str">
        <f aca="false">IFERROR(INDEX(Equipements!$B$6:$B$200,MATCH($B90,Equipements!$A$6:$A$200,0)),"?")</f>
        <v>Maison &amp; securite</v>
      </c>
      <c r="E90" s="26" t="s">
        <v>1378</v>
      </c>
      <c r="F90" s="24" t="s">
        <v>927</v>
      </c>
      <c r="G90" s="24" t="n">
        <v>12</v>
      </c>
      <c r="H90" s="25" t="s">
        <v>1379</v>
      </c>
      <c r="I90" s="25" t="s">
        <v>929</v>
      </c>
      <c r="J90" s="24" t="n">
        <v>30</v>
      </c>
      <c r="K90" s="25" t="s">
        <v>1380</v>
      </c>
      <c r="L90" s="25" t="s">
        <v>1381</v>
      </c>
      <c r="M90" s="25" t="s">
        <v>1382</v>
      </c>
      <c r="N90" s="24" t="s">
        <v>192</v>
      </c>
      <c r="O90" s="24" t="s">
        <v>56</v>
      </c>
      <c r="P90" s="23" t="s">
        <v>940</v>
      </c>
      <c r="Q90" s="24" t="n">
        <v>30</v>
      </c>
    </row>
    <row r="91" customFormat="false" ht="23.85" hidden="false" customHeight="false" outlineLevel="0" collapsed="false">
      <c r="A91" s="17" t="s">
        <v>1383</v>
      </c>
      <c r="B91" s="16" t="s">
        <v>685</v>
      </c>
      <c r="C91" s="19" t="s">
        <v>686</v>
      </c>
      <c r="D91" s="19" t="str">
        <f aca="false">IFERROR(INDEX(Equipements!$B$6:$B$200,MATCH($B91,Equipements!$A$6:$A$200,0)),"?")</f>
        <v>Maison &amp; securite</v>
      </c>
      <c r="E91" s="18" t="s">
        <v>1384</v>
      </c>
      <c r="F91" s="16" t="s">
        <v>202</v>
      </c>
      <c r="G91" s="16" t="n">
        <v>1.5</v>
      </c>
      <c r="H91" s="19" t="s">
        <v>1385</v>
      </c>
      <c r="I91" s="19" t="s">
        <v>929</v>
      </c>
      <c r="J91" s="16" t="n">
        <v>60</v>
      </c>
      <c r="K91" s="19" t="s">
        <v>1386</v>
      </c>
      <c r="L91" s="19" t="s">
        <v>1387</v>
      </c>
      <c r="M91" s="19" t="s">
        <v>692</v>
      </c>
      <c r="N91" s="17" t="s">
        <v>97</v>
      </c>
      <c r="O91" s="16" t="s">
        <v>56</v>
      </c>
      <c r="P91" s="17" t="s">
        <v>924</v>
      </c>
      <c r="Q91" s="16" t="n">
        <v>0</v>
      </c>
    </row>
    <row r="92" customFormat="false" ht="23.85" hidden="false" customHeight="false" outlineLevel="0" collapsed="false">
      <c r="A92" s="17" t="s">
        <v>1388</v>
      </c>
      <c r="B92" s="16" t="s">
        <v>685</v>
      </c>
      <c r="C92" s="19" t="s">
        <v>686</v>
      </c>
      <c r="D92" s="19" t="str">
        <f aca="false">IFERROR(INDEX(Equipements!$B$6:$B$200,MATCH($B92,Equipements!$A$6:$A$200,0)),"?")</f>
        <v>Maison &amp; securite</v>
      </c>
      <c r="E92" s="18" t="s">
        <v>1389</v>
      </c>
      <c r="F92" s="16" t="s">
        <v>202</v>
      </c>
      <c r="G92" s="16" t="n">
        <v>60</v>
      </c>
      <c r="H92" s="19" t="s">
        <v>1198</v>
      </c>
      <c r="I92" s="19" t="s">
        <v>1369</v>
      </c>
      <c r="J92" s="16" t="n">
        <v>180</v>
      </c>
      <c r="K92" s="19" t="s">
        <v>1390</v>
      </c>
      <c r="L92" s="19" t="s">
        <v>1391</v>
      </c>
      <c r="M92" s="19" t="s">
        <v>1392</v>
      </c>
      <c r="N92" s="17" t="s">
        <v>97</v>
      </c>
      <c r="O92" s="16" t="s">
        <v>58</v>
      </c>
      <c r="P92" s="17" t="s">
        <v>924</v>
      </c>
      <c r="Q92" s="16" t="n">
        <v>0</v>
      </c>
    </row>
    <row r="93" customFormat="false" ht="23.85" hidden="false" customHeight="false" outlineLevel="0" collapsed="false">
      <c r="A93" s="23" t="s">
        <v>1393</v>
      </c>
      <c r="B93" s="24" t="s">
        <v>696</v>
      </c>
      <c r="C93" s="25" t="s">
        <v>698</v>
      </c>
      <c r="D93" s="25" t="str">
        <f aca="false">IFERROR(INDEX(Equipements!$B$6:$B$200,MATCH($B93,Equipements!$A$6:$A$200,0)),"?")</f>
        <v>Maison &amp; securite</v>
      </c>
      <c r="E93" s="26" t="s">
        <v>1394</v>
      </c>
      <c r="F93" s="24" t="s">
        <v>927</v>
      </c>
      <c r="G93" s="24" t="n">
        <v>6</v>
      </c>
      <c r="H93" s="25" t="s">
        <v>711</v>
      </c>
      <c r="I93" s="25" t="s">
        <v>1021</v>
      </c>
      <c r="J93" s="24" t="n">
        <v>30</v>
      </c>
      <c r="K93" s="25" t="s">
        <v>1395</v>
      </c>
      <c r="L93" s="25" t="s">
        <v>1396</v>
      </c>
      <c r="M93" s="25" t="s">
        <v>1397</v>
      </c>
      <c r="N93" s="24" t="s">
        <v>192</v>
      </c>
      <c r="O93" s="24" t="s">
        <v>56</v>
      </c>
      <c r="P93" s="23" t="s">
        <v>933</v>
      </c>
      <c r="Q93" s="24" t="n">
        <v>30</v>
      </c>
    </row>
    <row r="94" customFormat="false" ht="23.85" hidden="false" customHeight="false" outlineLevel="0" collapsed="false">
      <c r="A94" s="23" t="s">
        <v>1398</v>
      </c>
      <c r="B94" s="24" t="s">
        <v>696</v>
      </c>
      <c r="C94" s="25" t="s">
        <v>698</v>
      </c>
      <c r="D94" s="25" t="str">
        <f aca="false">IFERROR(INDEX(Equipements!$B$6:$B$200,MATCH($B94,Equipements!$A$6:$A$200,0)),"?")</f>
        <v>Maison &amp; securite</v>
      </c>
      <c r="E94" s="26" t="s">
        <v>1399</v>
      </c>
      <c r="F94" s="24" t="s">
        <v>927</v>
      </c>
      <c r="G94" s="24" t="n">
        <v>6</v>
      </c>
      <c r="H94" s="25" t="s">
        <v>711</v>
      </c>
      <c r="I94" s="25" t="s">
        <v>1021</v>
      </c>
      <c r="J94" s="24" t="n">
        <v>10</v>
      </c>
      <c r="K94" s="25" t="s">
        <v>1400</v>
      </c>
      <c r="L94" s="25" t="s">
        <v>1401</v>
      </c>
      <c r="M94" s="25" t="s">
        <v>1402</v>
      </c>
      <c r="N94" s="24" t="s">
        <v>192</v>
      </c>
      <c r="O94" s="24" t="s">
        <v>56</v>
      </c>
      <c r="P94" s="23" t="s">
        <v>933</v>
      </c>
      <c r="Q94" s="24" t="n">
        <v>10</v>
      </c>
    </row>
    <row r="95" customFormat="false" ht="23.85" hidden="false" customHeight="false" outlineLevel="0" collapsed="false">
      <c r="A95" s="23" t="s">
        <v>1403</v>
      </c>
      <c r="B95" s="24" t="s">
        <v>708</v>
      </c>
      <c r="C95" s="25" t="s">
        <v>709</v>
      </c>
      <c r="D95" s="25" t="str">
        <f aca="false">IFERROR(INDEX(Equipements!$B$6:$B$200,MATCH($B95,Equipements!$A$6:$A$200,0)),"?")</f>
        <v>Maison &amp; securite</v>
      </c>
      <c r="E95" s="26" t="s">
        <v>1404</v>
      </c>
      <c r="F95" s="24" t="s">
        <v>927</v>
      </c>
      <c r="G95" s="24" t="n">
        <v>6</v>
      </c>
      <c r="H95" s="25" t="s">
        <v>711</v>
      </c>
      <c r="I95" s="25" t="s">
        <v>1021</v>
      </c>
      <c r="J95" s="24" t="n">
        <v>20</v>
      </c>
      <c r="K95" s="25" t="s">
        <v>1405</v>
      </c>
      <c r="L95" s="25" t="s">
        <v>1406</v>
      </c>
      <c r="M95" s="25" t="s">
        <v>1407</v>
      </c>
      <c r="N95" s="24" t="s">
        <v>192</v>
      </c>
      <c r="O95" s="24" t="s">
        <v>56</v>
      </c>
      <c r="P95" s="23" t="s">
        <v>933</v>
      </c>
      <c r="Q95" s="24" t="n">
        <v>20</v>
      </c>
    </row>
    <row r="96" customFormat="false" ht="23.85" hidden="false" customHeight="false" outlineLevel="0" collapsed="false">
      <c r="A96" s="23" t="s">
        <v>1408</v>
      </c>
      <c r="B96" s="24" t="s">
        <v>715</v>
      </c>
      <c r="C96" s="25" t="s">
        <v>716</v>
      </c>
      <c r="D96" s="25" t="str">
        <f aca="false">IFERROR(INDEX(Equipements!$B$6:$B$200,MATCH($B96,Equipements!$A$6:$A$200,0)),"?")</f>
        <v>Maison &amp; securite</v>
      </c>
      <c r="E96" s="26" t="s">
        <v>1409</v>
      </c>
      <c r="F96" s="24" t="s">
        <v>927</v>
      </c>
      <c r="G96" s="24" t="n">
        <v>12</v>
      </c>
      <c r="H96" s="25" t="s">
        <v>1027</v>
      </c>
      <c r="I96" s="25" t="s">
        <v>1040</v>
      </c>
      <c r="J96" s="24" t="n">
        <v>30</v>
      </c>
      <c r="K96" s="25" t="s">
        <v>1410</v>
      </c>
      <c r="L96" s="25" t="s">
        <v>1411</v>
      </c>
      <c r="M96" s="25" t="s">
        <v>1412</v>
      </c>
      <c r="N96" s="24" t="s">
        <v>192</v>
      </c>
      <c r="O96" s="24" t="s">
        <v>56</v>
      </c>
      <c r="P96" s="23" t="s">
        <v>940</v>
      </c>
      <c r="Q96" s="24" t="n">
        <v>30</v>
      </c>
    </row>
    <row r="97" customFormat="false" ht="23.85" hidden="false" customHeight="false" outlineLevel="0" collapsed="false">
      <c r="A97" s="23" t="s">
        <v>1413</v>
      </c>
      <c r="B97" s="24" t="s">
        <v>723</v>
      </c>
      <c r="C97" s="25" t="s">
        <v>724</v>
      </c>
      <c r="D97" s="25" t="str">
        <f aca="false">IFERROR(INDEX(Equipements!$B$6:$B$200,MATCH($B97,Equipements!$A$6:$A$200,0)),"?")</f>
        <v>Maison &amp; securite</v>
      </c>
      <c r="E97" s="26" t="s">
        <v>1414</v>
      </c>
      <c r="F97" s="24" t="s">
        <v>927</v>
      </c>
      <c r="G97" s="24" t="n">
        <v>12</v>
      </c>
      <c r="H97" s="25" t="s">
        <v>1027</v>
      </c>
      <c r="I97" s="25" t="s">
        <v>1040</v>
      </c>
      <c r="J97" s="24" t="n">
        <v>45</v>
      </c>
      <c r="K97" s="25" t="s">
        <v>1415</v>
      </c>
      <c r="L97" s="25" t="s">
        <v>1416</v>
      </c>
      <c r="M97" s="25" t="s">
        <v>1417</v>
      </c>
      <c r="N97" s="24" t="s">
        <v>192</v>
      </c>
      <c r="O97" s="24" t="s">
        <v>56</v>
      </c>
      <c r="P97" s="23" t="s">
        <v>940</v>
      </c>
      <c r="Q97" s="24" t="n">
        <v>45</v>
      </c>
    </row>
    <row r="98" customFormat="false" ht="23.85" hidden="false" customHeight="false" outlineLevel="0" collapsed="false">
      <c r="A98" s="17" t="s">
        <v>1418</v>
      </c>
      <c r="B98" s="16" t="s">
        <v>736</v>
      </c>
      <c r="C98" s="19" t="s">
        <v>738</v>
      </c>
      <c r="D98" s="19" t="str">
        <f aca="false">IFERROR(INDEX(Equipements!$B$6:$B$200,MATCH($B98,Equipements!$A$6:$A$200,0)),"?")</f>
        <v>Jardin &amp; piscine</v>
      </c>
      <c r="E98" s="18" t="s">
        <v>1419</v>
      </c>
      <c r="F98" s="16" t="s">
        <v>927</v>
      </c>
      <c r="G98" s="16" t="n">
        <v>1</v>
      </c>
      <c r="H98" s="19" t="s">
        <v>928</v>
      </c>
      <c r="I98" s="19" t="s">
        <v>929</v>
      </c>
      <c r="J98" s="16" t="n">
        <v>10</v>
      </c>
      <c r="K98" s="19" t="s">
        <v>1029</v>
      </c>
      <c r="L98" s="19" t="s">
        <v>1420</v>
      </c>
      <c r="M98" s="19" t="s">
        <v>1421</v>
      </c>
      <c r="N98" s="17" t="s">
        <v>97</v>
      </c>
      <c r="O98" s="16" t="s">
        <v>56</v>
      </c>
      <c r="P98" s="17" t="s">
        <v>924</v>
      </c>
      <c r="Q98" s="16" t="n">
        <v>10</v>
      </c>
    </row>
    <row r="99" customFormat="false" ht="35.05" hidden="false" customHeight="false" outlineLevel="0" collapsed="false">
      <c r="A99" s="23" t="s">
        <v>1422</v>
      </c>
      <c r="B99" s="24" t="s">
        <v>746</v>
      </c>
      <c r="C99" s="25" t="s">
        <v>747</v>
      </c>
      <c r="D99" s="25" t="str">
        <f aca="false">IFERROR(INDEX(Equipements!$B$6:$B$200,MATCH($B99,Equipements!$A$6:$A$200,0)),"?")</f>
        <v>Jardin &amp; piscine</v>
      </c>
      <c r="E99" s="26" t="s">
        <v>1423</v>
      </c>
      <c r="F99" s="24" t="s">
        <v>927</v>
      </c>
      <c r="G99" s="24" t="n">
        <v>0.25</v>
      </c>
      <c r="H99" s="25" t="s">
        <v>967</v>
      </c>
      <c r="I99" s="25" t="s">
        <v>1424</v>
      </c>
      <c r="J99" s="24" t="n">
        <v>15</v>
      </c>
      <c r="K99" s="25" t="s">
        <v>1425</v>
      </c>
      <c r="L99" s="25" t="s">
        <v>1426</v>
      </c>
      <c r="M99" s="25" t="s">
        <v>1427</v>
      </c>
      <c r="N99" s="24" t="s">
        <v>192</v>
      </c>
      <c r="O99" s="24" t="s">
        <v>56</v>
      </c>
      <c r="P99" s="23" t="s">
        <v>933</v>
      </c>
      <c r="Q99" s="24" t="n">
        <v>15</v>
      </c>
    </row>
    <row r="100" customFormat="false" ht="23.85" hidden="false" customHeight="false" outlineLevel="0" collapsed="false">
      <c r="A100" s="13" t="s">
        <v>1428</v>
      </c>
      <c r="B100" s="27" t="s">
        <v>746</v>
      </c>
      <c r="C100" s="28" t="s">
        <v>747</v>
      </c>
      <c r="D100" s="28" t="str">
        <f aca="false">IFERROR(INDEX(Equipements!$B$6:$B$200,MATCH($B100,Equipements!$A$6:$A$200,0)),"?")</f>
        <v>Jardin &amp; piscine</v>
      </c>
      <c r="E100" s="12" t="s">
        <v>1429</v>
      </c>
      <c r="F100" s="27" t="s">
        <v>202</v>
      </c>
      <c r="G100" s="27" t="n">
        <v>72</v>
      </c>
      <c r="H100" s="28" t="s">
        <v>1430</v>
      </c>
      <c r="I100" s="28" t="s">
        <v>1040</v>
      </c>
      <c r="J100" s="27" t="n">
        <v>180</v>
      </c>
      <c r="K100" s="28" t="s">
        <v>1431</v>
      </c>
      <c r="L100" s="28" t="s">
        <v>1432</v>
      </c>
      <c r="M100" s="28" t="s">
        <v>1433</v>
      </c>
      <c r="N100" s="27" t="s">
        <v>192</v>
      </c>
      <c r="O100" s="27" t="s">
        <v>60</v>
      </c>
      <c r="P100" s="13" t="s">
        <v>940</v>
      </c>
      <c r="Q100" s="27" t="n">
        <v>0</v>
      </c>
    </row>
    <row r="101" customFormat="false" ht="23.85" hidden="false" customHeight="false" outlineLevel="0" collapsed="false">
      <c r="A101" s="23" t="s">
        <v>1434</v>
      </c>
      <c r="B101" s="24" t="s">
        <v>754</v>
      </c>
      <c r="C101" s="25" t="s">
        <v>755</v>
      </c>
      <c r="D101" s="25" t="str">
        <f aca="false">IFERROR(INDEX(Equipements!$B$6:$B$200,MATCH($B101,Equipements!$A$6:$A$200,0)),"?")</f>
        <v>Jardin &amp; piscine</v>
      </c>
      <c r="E101" s="26" t="s">
        <v>1435</v>
      </c>
      <c r="F101" s="24" t="s">
        <v>927</v>
      </c>
      <c r="G101" s="24" t="n">
        <v>0.25</v>
      </c>
      <c r="H101" s="25" t="s">
        <v>967</v>
      </c>
      <c r="I101" s="25" t="s">
        <v>1424</v>
      </c>
      <c r="J101" s="24" t="n">
        <v>10</v>
      </c>
      <c r="K101" s="25" t="s">
        <v>1029</v>
      </c>
      <c r="L101" s="25" t="s">
        <v>1436</v>
      </c>
      <c r="M101" s="25" t="s">
        <v>1437</v>
      </c>
      <c r="N101" s="24" t="s">
        <v>192</v>
      </c>
      <c r="O101" s="24" t="s">
        <v>56</v>
      </c>
      <c r="P101" s="23" t="s">
        <v>933</v>
      </c>
      <c r="Q101" s="24" t="n">
        <v>10</v>
      </c>
    </row>
    <row r="102" customFormat="false" ht="23.85" hidden="false" customHeight="false" outlineLevel="0" collapsed="false">
      <c r="A102" s="23" t="s">
        <v>1438</v>
      </c>
      <c r="B102" s="24" t="s">
        <v>754</v>
      </c>
      <c r="C102" s="25" t="s">
        <v>755</v>
      </c>
      <c r="D102" s="25" t="str">
        <f aca="false">IFERROR(INDEX(Equipements!$B$6:$B$200,MATCH($B102,Equipements!$A$6:$A$200,0)),"?")</f>
        <v>Jardin &amp; piscine</v>
      </c>
      <c r="E102" s="26" t="s">
        <v>1439</v>
      </c>
      <c r="F102" s="24" t="s">
        <v>927</v>
      </c>
      <c r="G102" s="24" t="n">
        <v>12</v>
      </c>
      <c r="H102" s="25" t="s">
        <v>1027</v>
      </c>
      <c r="I102" s="25" t="s">
        <v>1440</v>
      </c>
      <c r="J102" s="24" t="n">
        <v>120</v>
      </c>
      <c r="K102" s="25" t="s">
        <v>1441</v>
      </c>
      <c r="L102" s="25" t="s">
        <v>1442</v>
      </c>
      <c r="M102" s="25" t="s">
        <v>1443</v>
      </c>
      <c r="N102" s="24" t="s">
        <v>192</v>
      </c>
      <c r="O102" s="24" t="s">
        <v>56</v>
      </c>
      <c r="P102" s="23" t="s">
        <v>933</v>
      </c>
      <c r="Q102" s="24" t="n">
        <v>120</v>
      </c>
    </row>
    <row r="103" customFormat="false" ht="23.85" hidden="false" customHeight="false" outlineLevel="0" collapsed="false">
      <c r="A103" s="23" t="s">
        <v>1444</v>
      </c>
      <c r="B103" s="24" t="s">
        <v>754</v>
      </c>
      <c r="C103" s="25" t="s">
        <v>755</v>
      </c>
      <c r="D103" s="25" t="str">
        <f aca="false">IFERROR(INDEX(Equipements!$B$6:$B$200,MATCH($B103,Equipements!$A$6:$A$200,0)),"?")</f>
        <v>Jardin &amp; piscine</v>
      </c>
      <c r="E103" s="26" t="s">
        <v>1445</v>
      </c>
      <c r="F103" s="24" t="s">
        <v>927</v>
      </c>
      <c r="G103" s="24" t="n">
        <v>12</v>
      </c>
      <c r="H103" s="25" t="s">
        <v>1027</v>
      </c>
      <c r="I103" s="25" t="s">
        <v>1446</v>
      </c>
      <c r="J103" s="24" t="n">
        <v>180</v>
      </c>
      <c r="K103" s="25" t="s">
        <v>1447</v>
      </c>
      <c r="L103" s="25" t="s">
        <v>1448</v>
      </c>
      <c r="M103" s="25" t="s">
        <v>1449</v>
      </c>
      <c r="N103" s="24" t="s">
        <v>192</v>
      </c>
      <c r="O103" s="24" t="s">
        <v>56</v>
      </c>
      <c r="P103" s="23" t="s">
        <v>933</v>
      </c>
      <c r="Q103" s="24" t="n">
        <v>90</v>
      </c>
    </row>
    <row r="104" customFormat="false" ht="23.85" hidden="false" customHeight="false" outlineLevel="0" collapsed="false">
      <c r="A104" s="23" t="s">
        <v>1450</v>
      </c>
      <c r="B104" s="24" t="s">
        <v>760</v>
      </c>
      <c r="C104" s="25" t="s">
        <v>761</v>
      </c>
      <c r="D104" s="25" t="str">
        <f aca="false">IFERROR(INDEX(Equipements!$B$6:$B$200,MATCH($B104,Equipements!$A$6:$A$200,0)),"?")</f>
        <v>Jardin &amp; piscine</v>
      </c>
      <c r="E104" s="26" t="s">
        <v>1451</v>
      </c>
      <c r="F104" s="24" t="s">
        <v>927</v>
      </c>
      <c r="G104" s="24" t="n">
        <v>3</v>
      </c>
      <c r="H104" s="25" t="s">
        <v>1452</v>
      </c>
      <c r="I104" s="25" t="s">
        <v>1424</v>
      </c>
      <c r="J104" s="24" t="n">
        <v>30</v>
      </c>
      <c r="K104" s="25" t="s">
        <v>1453</v>
      </c>
      <c r="L104" s="25" t="s">
        <v>1454</v>
      </c>
      <c r="M104" s="25" t="s">
        <v>1455</v>
      </c>
      <c r="N104" s="24" t="s">
        <v>192</v>
      </c>
      <c r="O104" s="24" t="s">
        <v>56</v>
      </c>
      <c r="P104" s="23" t="s">
        <v>940</v>
      </c>
      <c r="Q104" s="24" t="n">
        <v>15</v>
      </c>
    </row>
    <row r="105" customFormat="false" ht="23.85" hidden="false" customHeight="false" outlineLevel="0" collapsed="false">
      <c r="A105" s="17" t="s">
        <v>1456</v>
      </c>
      <c r="B105" s="16" t="s">
        <v>777</v>
      </c>
      <c r="C105" s="19" t="s">
        <v>778</v>
      </c>
      <c r="D105" s="19" t="str">
        <f aca="false">IFERROR(INDEX(Equipements!$B$6:$B$200,MATCH($B105,Equipements!$A$6:$A$200,0)),"?")</f>
        <v>Jardin &amp; piscine</v>
      </c>
      <c r="E105" s="18" t="s">
        <v>1457</v>
      </c>
      <c r="F105" s="16" t="s">
        <v>927</v>
      </c>
      <c r="G105" s="16" t="n">
        <v>1</v>
      </c>
      <c r="H105" s="19" t="s">
        <v>928</v>
      </c>
      <c r="I105" s="19" t="s">
        <v>929</v>
      </c>
      <c r="J105" s="16" t="n">
        <v>5</v>
      </c>
      <c r="K105" s="19" t="s">
        <v>1029</v>
      </c>
      <c r="L105" s="19" t="s">
        <v>1458</v>
      </c>
      <c r="M105" s="19" t="s">
        <v>1459</v>
      </c>
      <c r="N105" s="17" t="s">
        <v>97</v>
      </c>
      <c r="O105" s="16" t="s">
        <v>56</v>
      </c>
      <c r="P105" s="17" t="s">
        <v>924</v>
      </c>
      <c r="Q105" s="16" t="n">
        <v>5</v>
      </c>
    </row>
    <row r="106" customFormat="false" ht="23.85" hidden="false" customHeight="false" outlineLevel="0" collapsed="false">
      <c r="A106" s="23" t="s">
        <v>1460</v>
      </c>
      <c r="B106" s="24" t="s">
        <v>785</v>
      </c>
      <c r="C106" s="25" t="s">
        <v>786</v>
      </c>
      <c r="D106" s="25" t="str">
        <f aca="false">IFERROR(INDEX(Equipements!$B$6:$B$200,MATCH($B106,Equipements!$A$6:$A$200,0)),"?")</f>
        <v>Jardin &amp; piscine</v>
      </c>
      <c r="E106" s="26" t="s">
        <v>1461</v>
      </c>
      <c r="F106" s="24" t="s">
        <v>927</v>
      </c>
      <c r="G106" s="24" t="n">
        <v>3</v>
      </c>
      <c r="H106" s="25" t="s">
        <v>1462</v>
      </c>
      <c r="I106" s="25" t="s">
        <v>929</v>
      </c>
      <c r="J106" s="24" t="n">
        <v>90</v>
      </c>
      <c r="K106" s="25" t="s">
        <v>1463</v>
      </c>
      <c r="L106" s="25" t="s">
        <v>1464</v>
      </c>
      <c r="M106" s="25" t="s">
        <v>1465</v>
      </c>
      <c r="N106" s="24" t="s">
        <v>192</v>
      </c>
      <c r="O106" s="24" t="s">
        <v>56</v>
      </c>
      <c r="P106" s="23" t="s">
        <v>933</v>
      </c>
      <c r="Q106" s="24" t="n">
        <v>45</v>
      </c>
    </row>
    <row r="107" customFormat="false" ht="23.85" hidden="false" customHeight="false" outlineLevel="0" collapsed="false">
      <c r="A107" s="23" t="s">
        <v>1466</v>
      </c>
      <c r="B107" s="24" t="s">
        <v>791</v>
      </c>
      <c r="C107" s="25" t="s">
        <v>793</v>
      </c>
      <c r="D107" s="25" t="str">
        <f aca="false">IFERROR(INDEX(Equipements!$B$6:$B$200,MATCH($B107,Equipements!$A$6:$A$200,0)),"?")</f>
        <v>Jardin &amp; piscine</v>
      </c>
      <c r="E107" s="26" t="s">
        <v>1467</v>
      </c>
      <c r="F107" s="24" t="s">
        <v>927</v>
      </c>
      <c r="G107" s="24" t="n">
        <v>12</v>
      </c>
      <c r="H107" s="25" t="s">
        <v>1027</v>
      </c>
      <c r="I107" s="25" t="s">
        <v>1468</v>
      </c>
      <c r="J107" s="24" t="n">
        <v>60</v>
      </c>
      <c r="K107" s="25" t="s">
        <v>1469</v>
      </c>
      <c r="L107" s="25" t="s">
        <v>1470</v>
      </c>
      <c r="M107" s="25" t="s">
        <v>1471</v>
      </c>
      <c r="N107" s="24" t="s">
        <v>192</v>
      </c>
      <c r="O107" s="24" t="s">
        <v>56</v>
      </c>
      <c r="P107" s="23" t="s">
        <v>940</v>
      </c>
      <c r="Q107" s="24" t="n">
        <v>60</v>
      </c>
    </row>
    <row r="108" customFormat="false" ht="23.85" hidden="false" customHeight="false" outlineLevel="0" collapsed="false">
      <c r="A108" s="23" t="s">
        <v>1472</v>
      </c>
      <c r="B108" s="24" t="s">
        <v>791</v>
      </c>
      <c r="C108" s="25" t="s">
        <v>793</v>
      </c>
      <c r="D108" s="25" t="str">
        <f aca="false">IFERROR(INDEX(Equipements!$B$6:$B$200,MATCH($B108,Equipements!$A$6:$A$200,0)),"?")</f>
        <v>Jardin &amp; piscine</v>
      </c>
      <c r="E108" s="26" t="s">
        <v>1473</v>
      </c>
      <c r="F108" s="24" t="s">
        <v>927</v>
      </c>
      <c r="G108" s="24" t="n">
        <v>12</v>
      </c>
      <c r="H108" s="25" t="s">
        <v>1027</v>
      </c>
      <c r="I108" s="25" t="s">
        <v>1028</v>
      </c>
      <c r="J108" s="24" t="n">
        <v>30</v>
      </c>
      <c r="K108" s="25" t="s">
        <v>1474</v>
      </c>
      <c r="L108" s="25" t="s">
        <v>1475</v>
      </c>
      <c r="M108" s="25" t="s">
        <v>1476</v>
      </c>
      <c r="N108" s="24" t="s">
        <v>192</v>
      </c>
      <c r="O108" s="24" t="s">
        <v>56</v>
      </c>
      <c r="P108" s="23" t="s">
        <v>940</v>
      </c>
      <c r="Q108" s="24" t="n">
        <v>30</v>
      </c>
    </row>
    <row r="109" customFormat="false" ht="23.85" hidden="false" customHeight="false" outlineLevel="0" collapsed="false">
      <c r="A109" s="23" t="s">
        <v>1477</v>
      </c>
      <c r="B109" s="24" t="s">
        <v>800</v>
      </c>
      <c r="C109" s="25" t="s">
        <v>801</v>
      </c>
      <c r="D109" s="25" t="str">
        <f aca="false">IFERROR(INDEX(Equipements!$B$6:$B$200,MATCH($B109,Equipements!$A$6:$A$200,0)),"?")</f>
        <v>Jardin &amp; piscine</v>
      </c>
      <c r="E109" s="26" t="s">
        <v>1478</v>
      </c>
      <c r="F109" s="24" t="s">
        <v>927</v>
      </c>
      <c r="G109" s="24" t="n">
        <v>2.5</v>
      </c>
      <c r="H109" s="25" t="s">
        <v>1479</v>
      </c>
      <c r="I109" s="25" t="s">
        <v>1480</v>
      </c>
      <c r="J109" s="24" t="n">
        <v>15</v>
      </c>
      <c r="K109" s="25" t="s">
        <v>1481</v>
      </c>
      <c r="L109" s="25" t="s">
        <v>1482</v>
      </c>
      <c r="M109" s="25" t="s">
        <v>1483</v>
      </c>
      <c r="N109" s="24" t="s">
        <v>192</v>
      </c>
      <c r="O109" s="24" t="s">
        <v>56</v>
      </c>
      <c r="P109" s="23" t="s">
        <v>940</v>
      </c>
      <c r="Q109" s="24" t="n">
        <v>15</v>
      </c>
    </row>
    <row r="110" customFormat="false" ht="23.85" hidden="false" customHeight="false" outlineLevel="0" collapsed="false">
      <c r="A110" s="23" t="s">
        <v>1484</v>
      </c>
      <c r="B110" s="24" t="s">
        <v>810</v>
      </c>
      <c r="C110" s="25" t="s">
        <v>811</v>
      </c>
      <c r="D110" s="25" t="str">
        <f aca="false">IFERROR(INDEX(Equipements!$B$6:$B$200,MATCH($B110,Equipements!$A$6:$A$200,0)),"?")</f>
        <v>Jardin &amp; piscine</v>
      </c>
      <c r="E110" s="26" t="s">
        <v>1485</v>
      </c>
      <c r="F110" s="24" t="s">
        <v>927</v>
      </c>
      <c r="G110" s="24" t="n">
        <v>12</v>
      </c>
      <c r="H110" s="25" t="s">
        <v>1027</v>
      </c>
      <c r="I110" s="25" t="s">
        <v>1028</v>
      </c>
      <c r="J110" s="24" t="n">
        <v>20</v>
      </c>
      <c r="K110" s="25" t="s">
        <v>1486</v>
      </c>
      <c r="L110" s="25" t="s">
        <v>1487</v>
      </c>
      <c r="M110" s="25" t="s">
        <v>1488</v>
      </c>
      <c r="N110" s="24" t="s">
        <v>192</v>
      </c>
      <c r="O110" s="24" t="s">
        <v>56</v>
      </c>
      <c r="P110" s="23" t="s">
        <v>933</v>
      </c>
      <c r="Q110" s="24" t="n">
        <v>20</v>
      </c>
    </row>
    <row r="111" customFormat="false" ht="23.85" hidden="false" customHeight="false" outlineLevel="0" collapsed="false">
      <c r="A111" s="23" t="s">
        <v>1489</v>
      </c>
      <c r="B111" s="24" t="s">
        <v>816</v>
      </c>
      <c r="C111" s="25" t="s">
        <v>817</v>
      </c>
      <c r="D111" s="25" t="str">
        <f aca="false">IFERROR(INDEX(Equipements!$B$6:$B$200,MATCH($B111,Equipements!$A$6:$A$200,0)),"?")</f>
        <v>Jardin &amp; piscine</v>
      </c>
      <c r="E111" s="26" t="s">
        <v>1490</v>
      </c>
      <c r="F111" s="24" t="s">
        <v>927</v>
      </c>
      <c r="G111" s="24" t="n">
        <v>12</v>
      </c>
      <c r="H111" s="25" t="s">
        <v>1027</v>
      </c>
      <c r="I111" s="25" t="s">
        <v>1028</v>
      </c>
      <c r="J111" s="24" t="n">
        <v>60</v>
      </c>
      <c r="K111" s="25" t="s">
        <v>1491</v>
      </c>
      <c r="L111" s="25" t="s">
        <v>1492</v>
      </c>
      <c r="M111" s="25" t="s">
        <v>1493</v>
      </c>
      <c r="N111" s="24" t="s">
        <v>192</v>
      </c>
      <c r="O111" s="24" t="s">
        <v>56</v>
      </c>
      <c r="P111" s="23" t="s">
        <v>933</v>
      </c>
      <c r="Q111" s="24" t="n">
        <v>60</v>
      </c>
    </row>
    <row r="112" customFormat="false" ht="23.85" hidden="false" customHeight="false" outlineLevel="0" collapsed="false">
      <c r="A112" s="23" t="s">
        <v>1494</v>
      </c>
      <c r="B112" s="24" t="s">
        <v>816</v>
      </c>
      <c r="C112" s="25" t="s">
        <v>817</v>
      </c>
      <c r="D112" s="25" t="str">
        <f aca="false">IFERROR(INDEX(Equipements!$B$6:$B$200,MATCH($B112,Equipements!$A$6:$A$200,0)),"?")</f>
        <v>Jardin &amp; piscine</v>
      </c>
      <c r="E112" s="26" t="s">
        <v>1495</v>
      </c>
      <c r="F112" s="24" t="s">
        <v>927</v>
      </c>
      <c r="G112" s="24" t="n">
        <v>12</v>
      </c>
      <c r="H112" s="25" t="s">
        <v>1027</v>
      </c>
      <c r="I112" s="25" t="s">
        <v>1496</v>
      </c>
      <c r="J112" s="24" t="n">
        <v>45</v>
      </c>
      <c r="K112" s="25" t="s">
        <v>1029</v>
      </c>
      <c r="L112" s="25" t="s">
        <v>1497</v>
      </c>
      <c r="M112" s="25" t="s">
        <v>1498</v>
      </c>
      <c r="N112" s="24" t="s">
        <v>192</v>
      </c>
      <c r="O112" s="24" t="s">
        <v>56</v>
      </c>
      <c r="P112" s="23" t="s">
        <v>940</v>
      </c>
      <c r="Q112" s="24" t="n">
        <v>45</v>
      </c>
    </row>
    <row r="113" customFormat="false" ht="23.85" hidden="false" customHeight="false" outlineLevel="0" collapsed="false">
      <c r="A113" s="23" t="s">
        <v>1499</v>
      </c>
      <c r="B113" s="24" t="s">
        <v>821</v>
      </c>
      <c r="C113" s="25" t="s">
        <v>822</v>
      </c>
      <c r="D113" s="25" t="str">
        <f aca="false">IFERROR(INDEX(Equipements!$B$6:$B$200,MATCH($B113,Equipements!$A$6:$A$200,0)),"?")</f>
        <v>Jardin &amp; piscine</v>
      </c>
      <c r="E113" s="26" t="s">
        <v>1500</v>
      </c>
      <c r="F113" s="24" t="s">
        <v>927</v>
      </c>
      <c r="G113" s="24" t="n">
        <v>12</v>
      </c>
      <c r="H113" s="25" t="s">
        <v>1027</v>
      </c>
      <c r="I113" s="25" t="s">
        <v>1501</v>
      </c>
      <c r="J113" s="24" t="n">
        <v>20</v>
      </c>
      <c r="K113" s="25" t="s">
        <v>1118</v>
      </c>
      <c r="L113" s="25" t="s">
        <v>1502</v>
      </c>
      <c r="M113" s="25" t="s">
        <v>824</v>
      </c>
      <c r="N113" s="24" t="s">
        <v>192</v>
      </c>
      <c r="O113" s="24" t="s">
        <v>56</v>
      </c>
      <c r="P113" s="23" t="s">
        <v>933</v>
      </c>
      <c r="Q113" s="24" t="n">
        <v>20</v>
      </c>
    </row>
    <row r="114" customFormat="false" ht="23.85" hidden="false" customHeight="false" outlineLevel="0" collapsed="false">
      <c r="A114" s="23" t="s">
        <v>1503</v>
      </c>
      <c r="B114" s="24" t="s">
        <v>840</v>
      </c>
      <c r="C114" s="25" t="s">
        <v>841</v>
      </c>
      <c r="D114" s="25" t="str">
        <f aca="false">IFERROR(INDEX(Equipements!$B$6:$B$200,MATCH($B114,Equipements!$A$6:$A$200,0)),"?")</f>
        <v>Maison &amp; securite</v>
      </c>
      <c r="E114" s="26" t="s">
        <v>1504</v>
      </c>
      <c r="F114" s="24" t="s">
        <v>927</v>
      </c>
      <c r="G114" s="24" t="n">
        <v>6</v>
      </c>
      <c r="H114" s="25" t="s">
        <v>1505</v>
      </c>
      <c r="I114" s="25" t="s">
        <v>1506</v>
      </c>
      <c r="J114" s="24" t="n">
        <v>90</v>
      </c>
      <c r="K114" s="25" t="s">
        <v>1507</v>
      </c>
      <c r="L114" s="25" t="s">
        <v>1508</v>
      </c>
      <c r="M114" s="25" t="s">
        <v>1509</v>
      </c>
      <c r="N114" s="24" t="s">
        <v>192</v>
      </c>
      <c r="O114" s="24" t="s">
        <v>56</v>
      </c>
      <c r="P114" s="23" t="s">
        <v>933</v>
      </c>
      <c r="Q114" s="24" t="n">
        <v>90</v>
      </c>
    </row>
    <row r="115" customFormat="false" ht="35.05" hidden="false" customHeight="false" outlineLevel="0" collapsed="false">
      <c r="A115" s="23" t="s">
        <v>1510</v>
      </c>
      <c r="B115" s="24" t="s">
        <v>832</v>
      </c>
      <c r="C115" s="25" t="s">
        <v>834</v>
      </c>
      <c r="D115" s="25" t="str">
        <f aca="false">IFERROR(INDEX(Equipements!$B$6:$B$200,MATCH($B115,Equipements!$A$6:$A$200,0)),"?")</f>
        <v>Maison &amp; securite</v>
      </c>
      <c r="E115" s="26" t="s">
        <v>1511</v>
      </c>
      <c r="F115" s="24" t="s">
        <v>927</v>
      </c>
      <c r="G115" s="24" t="n">
        <v>12</v>
      </c>
      <c r="H115" s="25" t="s">
        <v>1027</v>
      </c>
      <c r="I115" s="25" t="s">
        <v>1512</v>
      </c>
      <c r="J115" s="24" t="n">
        <v>30</v>
      </c>
      <c r="K115" s="25" t="s">
        <v>1513</v>
      </c>
      <c r="L115" s="25" t="s">
        <v>1514</v>
      </c>
      <c r="M115" s="25" t="s">
        <v>1515</v>
      </c>
      <c r="N115" s="24" t="s">
        <v>192</v>
      </c>
      <c r="O115" s="24" t="s">
        <v>56</v>
      </c>
      <c r="P115" s="23" t="s">
        <v>933</v>
      </c>
      <c r="Q115" s="24" t="n">
        <v>30</v>
      </c>
    </row>
    <row r="116" customFormat="false" ht="23.85" hidden="false" customHeight="false" outlineLevel="0" collapsed="false">
      <c r="A116" s="13" t="s">
        <v>1516</v>
      </c>
      <c r="B116" s="27" t="s">
        <v>832</v>
      </c>
      <c r="C116" s="28" t="s">
        <v>834</v>
      </c>
      <c r="D116" s="28" t="str">
        <f aca="false">IFERROR(INDEX(Equipements!$B$6:$B$200,MATCH($B116,Equipements!$A$6:$A$200,0)),"?")</f>
        <v>Maison &amp; securite</v>
      </c>
      <c r="E116" s="12" t="s">
        <v>1517</v>
      </c>
      <c r="F116" s="27" t="s">
        <v>202</v>
      </c>
      <c r="G116" s="27" t="n">
        <v>84</v>
      </c>
      <c r="H116" s="28" t="s">
        <v>1070</v>
      </c>
      <c r="I116" s="28" t="s">
        <v>1016</v>
      </c>
      <c r="J116" s="27" t="n">
        <v>480</v>
      </c>
      <c r="K116" s="28" t="s">
        <v>1518</v>
      </c>
      <c r="L116" s="28" t="s">
        <v>1519</v>
      </c>
      <c r="M116" s="28" t="s">
        <v>1520</v>
      </c>
      <c r="N116" s="27" t="s">
        <v>192</v>
      </c>
      <c r="O116" s="27" t="s">
        <v>60</v>
      </c>
      <c r="P116" s="13" t="s">
        <v>940</v>
      </c>
      <c r="Q116" s="27" t="n">
        <v>0</v>
      </c>
    </row>
    <row r="117" customFormat="false" ht="23.85" hidden="false" customHeight="false" outlineLevel="0" collapsed="false">
      <c r="A117" s="23" t="s">
        <v>1521</v>
      </c>
      <c r="B117" s="24" t="s">
        <v>852</v>
      </c>
      <c r="C117" s="25" t="s">
        <v>853</v>
      </c>
      <c r="D117" s="25" t="str">
        <f aca="false">IFERROR(INDEX(Equipements!$B$6:$B$200,MATCH($B117,Equipements!$A$6:$A$200,0)),"?")</f>
        <v>Maison &amp; securite</v>
      </c>
      <c r="E117" s="26" t="s">
        <v>1522</v>
      </c>
      <c r="F117" s="24" t="s">
        <v>927</v>
      </c>
      <c r="G117" s="24" t="n">
        <v>12</v>
      </c>
      <c r="H117" s="25" t="s">
        <v>1027</v>
      </c>
      <c r="I117" s="25" t="s">
        <v>1523</v>
      </c>
      <c r="J117" s="24" t="n">
        <v>240</v>
      </c>
      <c r="K117" s="25" t="s">
        <v>1524</v>
      </c>
      <c r="L117" s="25" t="s">
        <v>1525</v>
      </c>
      <c r="M117" s="25" t="s">
        <v>1526</v>
      </c>
      <c r="N117" s="24" t="s">
        <v>192</v>
      </c>
      <c r="O117" s="24" t="s">
        <v>56</v>
      </c>
      <c r="P117" s="23" t="s">
        <v>940</v>
      </c>
      <c r="Q117" s="24" t="n">
        <v>180</v>
      </c>
    </row>
    <row r="118" customFormat="false" ht="35.05" hidden="false" customHeight="false" outlineLevel="0" collapsed="false">
      <c r="A118" s="13" t="s">
        <v>1527</v>
      </c>
      <c r="B118" s="27" t="s">
        <v>857</v>
      </c>
      <c r="C118" s="28" t="s">
        <v>858</v>
      </c>
      <c r="D118" s="28" t="str">
        <f aca="false">IFERROR(INDEX(Equipements!$B$6:$B$200,MATCH($B118,Equipements!$A$6:$A$200,0)),"?")</f>
        <v>Maison &amp; securite</v>
      </c>
      <c r="E118" s="12" t="s">
        <v>1528</v>
      </c>
      <c r="F118" s="27" t="s">
        <v>202</v>
      </c>
      <c r="G118" s="27" t="n">
        <v>48</v>
      </c>
      <c r="H118" s="28" t="s">
        <v>1529</v>
      </c>
      <c r="I118" s="28" t="s">
        <v>929</v>
      </c>
      <c r="J118" s="27" t="n">
        <v>90</v>
      </c>
      <c r="K118" s="28" t="s">
        <v>1530</v>
      </c>
      <c r="L118" s="28" t="s">
        <v>1531</v>
      </c>
      <c r="M118" s="28" t="s">
        <v>1532</v>
      </c>
      <c r="N118" s="27" t="s">
        <v>225</v>
      </c>
      <c r="O118" s="27" t="s">
        <v>60</v>
      </c>
      <c r="P118" s="13" t="s">
        <v>940</v>
      </c>
      <c r="Q118" s="27" t="n">
        <v>0</v>
      </c>
    </row>
    <row r="119" customFormat="false" ht="23.85" hidden="false" customHeight="false" outlineLevel="0" collapsed="false">
      <c r="A119" s="23" t="s">
        <v>1533</v>
      </c>
      <c r="B119" s="24" t="s">
        <v>864</v>
      </c>
      <c r="C119" s="25" t="s">
        <v>865</v>
      </c>
      <c r="D119" s="25" t="str">
        <f aca="false">IFERROR(INDEX(Equipements!$B$6:$B$200,MATCH($B119,Equipements!$A$6:$A$200,0)),"?")</f>
        <v>Maison &amp; securite</v>
      </c>
      <c r="E119" s="26" t="s">
        <v>1534</v>
      </c>
      <c r="F119" s="24" t="s">
        <v>927</v>
      </c>
      <c r="G119" s="24" t="n">
        <v>12</v>
      </c>
      <c r="H119" s="25" t="s">
        <v>1027</v>
      </c>
      <c r="I119" s="25" t="s">
        <v>1535</v>
      </c>
      <c r="J119" s="24" t="n">
        <v>20</v>
      </c>
      <c r="K119" s="25" t="s">
        <v>1405</v>
      </c>
      <c r="L119" s="25" t="s">
        <v>1536</v>
      </c>
      <c r="M119" s="25" t="s">
        <v>1537</v>
      </c>
      <c r="N119" s="24" t="s">
        <v>192</v>
      </c>
      <c r="O119" s="24" t="s">
        <v>56</v>
      </c>
      <c r="P119" s="23" t="s">
        <v>940</v>
      </c>
      <c r="Q119" s="24" t="n">
        <v>20</v>
      </c>
    </row>
    <row r="120" customFormat="false" ht="23.85" hidden="false" customHeight="false" outlineLevel="0" collapsed="false">
      <c r="A120" s="23" t="s">
        <v>1538</v>
      </c>
      <c r="B120" s="24" t="s">
        <v>868</v>
      </c>
      <c r="C120" s="25" t="s">
        <v>869</v>
      </c>
      <c r="D120" s="25" t="str">
        <f aca="false">IFERROR(INDEX(Equipements!$B$6:$B$200,MATCH($B120,Equipements!$A$6:$A$200,0)),"?")</f>
        <v>Maison &amp; securite</v>
      </c>
      <c r="E120" s="26" t="s">
        <v>1539</v>
      </c>
      <c r="F120" s="24" t="s">
        <v>927</v>
      </c>
      <c r="G120" s="24" t="n">
        <v>12</v>
      </c>
      <c r="H120" s="25" t="s">
        <v>1027</v>
      </c>
      <c r="I120" s="25" t="s">
        <v>1535</v>
      </c>
      <c r="J120" s="24" t="n">
        <v>15</v>
      </c>
      <c r="K120" s="25" t="s">
        <v>1540</v>
      </c>
      <c r="L120" s="25" t="s">
        <v>1541</v>
      </c>
      <c r="M120" s="25" t="s">
        <v>1542</v>
      </c>
      <c r="N120" s="24" t="s">
        <v>192</v>
      </c>
      <c r="O120" s="24" t="s">
        <v>56</v>
      </c>
      <c r="P120" s="23" t="s">
        <v>940</v>
      </c>
      <c r="Q120" s="24" t="n">
        <v>15</v>
      </c>
    </row>
    <row r="121" customFormat="false" ht="35.05" hidden="false" customHeight="false" outlineLevel="0" collapsed="false">
      <c r="A121" s="23" t="s">
        <v>1543</v>
      </c>
      <c r="B121" s="24" t="s">
        <v>612</v>
      </c>
      <c r="C121" s="25" t="s">
        <v>613</v>
      </c>
      <c r="D121" s="25" t="str">
        <f aca="false">IFERROR(INDEX(Equipements!$B$6:$B$200,MATCH($B121,Equipements!$A$6:$A$200,0)),"?")</f>
        <v>Energie</v>
      </c>
      <c r="E121" s="26" t="s">
        <v>1544</v>
      </c>
      <c r="F121" s="24" t="s">
        <v>927</v>
      </c>
      <c r="G121" s="24" t="n">
        <v>12</v>
      </c>
      <c r="H121" s="25" t="s">
        <v>1027</v>
      </c>
      <c r="I121" s="25" t="s">
        <v>1545</v>
      </c>
      <c r="J121" s="24" t="n">
        <v>30</v>
      </c>
      <c r="K121" s="25" t="s">
        <v>1546</v>
      </c>
      <c r="L121" s="25" t="s">
        <v>1547</v>
      </c>
      <c r="M121" s="25" t="s">
        <v>1548</v>
      </c>
      <c r="N121" s="24" t="s">
        <v>192</v>
      </c>
      <c r="O121" s="24" t="s">
        <v>58</v>
      </c>
      <c r="P121" s="23" t="s">
        <v>940</v>
      </c>
      <c r="Q121" s="24" t="n">
        <v>30</v>
      </c>
    </row>
    <row r="122" customFormat="false" ht="23.85" hidden="false" customHeight="false" outlineLevel="0" collapsed="false">
      <c r="A122" s="23" t="s">
        <v>1549</v>
      </c>
      <c r="B122" s="24" t="s">
        <v>295</v>
      </c>
      <c r="C122" s="25" t="s">
        <v>297</v>
      </c>
      <c r="D122" s="25" t="str">
        <f aca="false">IFERROR(INDEX(Equipements!$B$6:$B$200,MATCH($B122,Equipements!$A$6:$A$200,0)),"?")</f>
        <v>Chauffage &amp; climatisation</v>
      </c>
      <c r="E122" s="26" t="s">
        <v>1033</v>
      </c>
      <c r="F122" s="24" t="s">
        <v>927</v>
      </c>
      <c r="G122" s="24" t="n">
        <v>1</v>
      </c>
      <c r="H122" s="25" t="s">
        <v>973</v>
      </c>
      <c r="I122" s="25" t="s">
        <v>1424</v>
      </c>
      <c r="J122" s="24" t="n">
        <v>10</v>
      </c>
      <c r="K122" s="25" t="s">
        <v>1035</v>
      </c>
      <c r="L122" s="25" t="s">
        <v>1550</v>
      </c>
      <c r="M122" s="25" t="s">
        <v>1551</v>
      </c>
      <c r="N122" s="24" t="s">
        <v>192</v>
      </c>
      <c r="O122" s="24" t="s">
        <v>56</v>
      </c>
      <c r="P122" s="23" t="s">
        <v>940</v>
      </c>
      <c r="Q122" s="24" t="n">
        <v>10</v>
      </c>
    </row>
    <row r="123" customFormat="false" ht="23.85" hidden="false" customHeight="false" outlineLevel="0" collapsed="false">
      <c r="A123" s="17" t="s">
        <v>1552</v>
      </c>
      <c r="B123" s="16" t="s">
        <v>295</v>
      </c>
      <c r="C123" s="19" t="s">
        <v>297</v>
      </c>
      <c r="D123" s="19" t="str">
        <f aca="false">IFERROR(INDEX(Equipements!$B$6:$B$200,MATCH($B123,Equipements!$A$6:$A$200,0)),"?")</f>
        <v>Chauffage &amp; climatisation</v>
      </c>
      <c r="E123" s="18" t="s">
        <v>1553</v>
      </c>
      <c r="F123" s="16" t="s">
        <v>202</v>
      </c>
      <c r="G123" s="16" t="n">
        <v>24</v>
      </c>
      <c r="H123" s="19" t="s">
        <v>170</v>
      </c>
      <c r="I123" s="19" t="s">
        <v>1554</v>
      </c>
      <c r="J123" s="16" t="n">
        <v>90</v>
      </c>
      <c r="K123" s="19" t="s">
        <v>298</v>
      </c>
      <c r="L123" s="19" t="s">
        <v>1555</v>
      </c>
      <c r="M123" s="19" t="s">
        <v>1556</v>
      </c>
      <c r="N123" s="17" t="s">
        <v>97</v>
      </c>
      <c r="O123" s="16" t="s">
        <v>56</v>
      </c>
      <c r="P123" s="17" t="s">
        <v>924</v>
      </c>
      <c r="Q123" s="16" t="n">
        <v>0</v>
      </c>
    </row>
    <row r="124" customFormat="false" ht="23.85" hidden="false" customHeight="false" outlineLevel="0" collapsed="false">
      <c r="A124" s="23" t="s">
        <v>1557</v>
      </c>
      <c r="B124" s="24" t="s">
        <v>295</v>
      </c>
      <c r="C124" s="25" t="s">
        <v>297</v>
      </c>
      <c r="D124" s="25" t="str">
        <f aca="false">IFERROR(INDEX(Equipements!$B$6:$B$200,MATCH($B124,Equipements!$A$6:$A$200,0)),"?")</f>
        <v>Chauffage &amp; climatisation</v>
      </c>
      <c r="E124" s="26" t="s">
        <v>1558</v>
      </c>
      <c r="F124" s="24" t="s">
        <v>927</v>
      </c>
      <c r="G124" s="24" t="n">
        <v>12</v>
      </c>
      <c r="H124" s="25" t="s">
        <v>1027</v>
      </c>
      <c r="I124" s="25" t="s">
        <v>1501</v>
      </c>
      <c r="J124" s="24" t="n">
        <v>15</v>
      </c>
      <c r="K124" s="25" t="s">
        <v>1559</v>
      </c>
      <c r="L124" s="25" t="s">
        <v>1560</v>
      </c>
      <c r="M124" s="25" t="s">
        <v>1561</v>
      </c>
      <c r="N124" s="24" t="s">
        <v>192</v>
      </c>
      <c r="O124" s="24" t="s">
        <v>56</v>
      </c>
      <c r="P124" s="23" t="s">
        <v>933</v>
      </c>
      <c r="Q124" s="24" t="n">
        <v>15</v>
      </c>
    </row>
    <row r="125" customFormat="false" ht="23.85" hidden="false" customHeight="false" outlineLevel="0" collapsed="false">
      <c r="A125" s="23" t="s">
        <v>1562</v>
      </c>
      <c r="B125" s="24" t="s">
        <v>300</v>
      </c>
      <c r="C125" s="25" t="s">
        <v>301</v>
      </c>
      <c r="D125" s="25" t="str">
        <f aca="false">IFERROR(INDEX(Equipements!$B$6:$B$200,MATCH($B125,Equipements!$A$6:$A$200,0)),"?")</f>
        <v>Chauffage &amp; climatisation</v>
      </c>
      <c r="E125" s="26" t="s">
        <v>1563</v>
      </c>
      <c r="F125" s="24" t="s">
        <v>927</v>
      </c>
      <c r="G125" s="24" t="n">
        <v>1</v>
      </c>
      <c r="H125" s="25" t="s">
        <v>1564</v>
      </c>
      <c r="I125" s="25" t="s">
        <v>1565</v>
      </c>
      <c r="J125" s="24" t="n">
        <v>10</v>
      </c>
      <c r="K125" s="25" t="s">
        <v>1566</v>
      </c>
      <c r="L125" s="25" t="s">
        <v>1567</v>
      </c>
      <c r="M125" s="25" t="s">
        <v>1568</v>
      </c>
      <c r="N125" s="24" t="s">
        <v>192</v>
      </c>
      <c r="O125" s="24" t="s">
        <v>56</v>
      </c>
      <c r="P125" s="23" t="s">
        <v>940</v>
      </c>
      <c r="Q125" s="24" t="n">
        <v>10</v>
      </c>
    </row>
    <row r="126" customFormat="false" ht="23.85" hidden="false" customHeight="false" outlineLevel="0" collapsed="false">
      <c r="A126" s="17" t="s">
        <v>1569</v>
      </c>
      <c r="B126" s="16" t="s">
        <v>307</v>
      </c>
      <c r="C126" s="19" t="s">
        <v>308</v>
      </c>
      <c r="D126" s="19" t="str">
        <f aca="false">IFERROR(INDEX(Equipements!$B$6:$B$200,MATCH($B126,Equipements!$A$6:$A$200,0)),"?")</f>
        <v>Chauffage &amp; climatisation</v>
      </c>
      <c r="E126" s="18" t="s">
        <v>1570</v>
      </c>
      <c r="F126" s="16" t="s">
        <v>202</v>
      </c>
      <c r="G126" s="16" t="n">
        <v>12</v>
      </c>
      <c r="H126" s="19" t="s">
        <v>919</v>
      </c>
      <c r="I126" s="19" t="s">
        <v>929</v>
      </c>
      <c r="J126" s="16" t="n">
        <v>60</v>
      </c>
      <c r="K126" s="19" t="s">
        <v>1571</v>
      </c>
      <c r="L126" s="19" t="s">
        <v>1572</v>
      </c>
      <c r="M126" s="19" t="s">
        <v>1573</v>
      </c>
      <c r="N126" s="17" t="s">
        <v>97</v>
      </c>
      <c r="O126" s="16" t="s">
        <v>58</v>
      </c>
      <c r="P126" s="17" t="s">
        <v>924</v>
      </c>
      <c r="Q126" s="16" t="n">
        <v>0</v>
      </c>
    </row>
    <row r="127" customFormat="false" ht="23.85" hidden="false" customHeight="false" outlineLevel="0" collapsed="false">
      <c r="A127" s="17" t="s">
        <v>1574</v>
      </c>
      <c r="B127" s="16" t="s">
        <v>183</v>
      </c>
      <c r="C127" s="19" t="s">
        <v>184</v>
      </c>
      <c r="D127" s="19" t="str">
        <f aca="false">IFERROR(INDEX(Equipements!$B$6:$B$200,MATCH($B127,Equipements!$A$6:$A$200,0)),"?")</f>
        <v>Chauffage &amp; climatisation</v>
      </c>
      <c r="E127" s="18" t="s">
        <v>1575</v>
      </c>
      <c r="F127" s="16" t="s">
        <v>202</v>
      </c>
      <c r="G127" s="16" t="n">
        <v>24</v>
      </c>
      <c r="H127" s="19" t="s">
        <v>170</v>
      </c>
      <c r="I127" s="19" t="s">
        <v>1040</v>
      </c>
      <c r="J127" s="16" t="n">
        <v>120</v>
      </c>
      <c r="K127" s="19" t="s">
        <v>1576</v>
      </c>
      <c r="L127" s="19" t="s">
        <v>1577</v>
      </c>
      <c r="M127" s="19" t="s">
        <v>1578</v>
      </c>
      <c r="N127" s="17" t="s">
        <v>97</v>
      </c>
      <c r="O127" s="16" t="s">
        <v>56</v>
      </c>
      <c r="P127" s="17" t="s">
        <v>924</v>
      </c>
      <c r="Q127" s="16" t="n">
        <v>0</v>
      </c>
    </row>
    <row r="128" customFormat="false" ht="23.85" hidden="false" customHeight="false" outlineLevel="0" collapsed="false">
      <c r="A128" s="23" t="s">
        <v>1579</v>
      </c>
      <c r="B128" s="24" t="s">
        <v>207</v>
      </c>
      <c r="C128" s="25" t="s">
        <v>208</v>
      </c>
      <c r="D128" s="25" t="str">
        <f aca="false">IFERROR(INDEX(Equipements!$B$6:$B$200,MATCH($B128,Equipements!$A$6:$A$200,0)),"?")</f>
        <v>Chauffage &amp; climatisation</v>
      </c>
      <c r="E128" s="26" t="s">
        <v>1580</v>
      </c>
      <c r="F128" s="24" t="s">
        <v>927</v>
      </c>
      <c r="G128" s="24" t="n">
        <v>12</v>
      </c>
      <c r="H128" s="25" t="s">
        <v>1027</v>
      </c>
      <c r="I128" s="25" t="s">
        <v>1064</v>
      </c>
      <c r="J128" s="24" t="n">
        <v>20</v>
      </c>
      <c r="K128" s="25" t="s">
        <v>1581</v>
      </c>
      <c r="L128" s="25" t="s">
        <v>1582</v>
      </c>
      <c r="M128" s="25" t="s">
        <v>1583</v>
      </c>
      <c r="N128" s="24" t="s">
        <v>192</v>
      </c>
      <c r="O128" s="24" t="s">
        <v>56</v>
      </c>
      <c r="P128" s="23" t="s">
        <v>940</v>
      </c>
      <c r="Q128" s="24" t="n">
        <v>20</v>
      </c>
    </row>
    <row r="129" customFormat="false" ht="23.85" hidden="false" customHeight="false" outlineLevel="0" collapsed="false">
      <c r="A129" s="17" t="s">
        <v>1584</v>
      </c>
      <c r="B129" s="16" t="s">
        <v>233</v>
      </c>
      <c r="C129" s="19" t="s">
        <v>234</v>
      </c>
      <c r="D129" s="19" t="str">
        <f aca="false">IFERROR(INDEX(Equipements!$B$6:$B$200,MATCH($B129,Equipements!$A$6:$A$200,0)),"?")</f>
        <v>Chauffage &amp; climatisation</v>
      </c>
      <c r="E129" s="18" t="s">
        <v>1585</v>
      </c>
      <c r="F129" s="16" t="s">
        <v>202</v>
      </c>
      <c r="G129" s="16" t="n">
        <v>60</v>
      </c>
      <c r="H129" s="19" t="s">
        <v>1586</v>
      </c>
      <c r="I129" s="19" t="s">
        <v>1369</v>
      </c>
      <c r="J129" s="16" t="n">
        <v>60</v>
      </c>
      <c r="K129" s="19" t="s">
        <v>238</v>
      </c>
      <c r="L129" s="19" t="s">
        <v>1587</v>
      </c>
      <c r="M129" s="19" t="s">
        <v>1588</v>
      </c>
      <c r="N129" s="17" t="s">
        <v>97</v>
      </c>
      <c r="O129" s="16" t="s">
        <v>56</v>
      </c>
      <c r="P129" s="17" t="s">
        <v>924</v>
      </c>
      <c r="Q129" s="16" t="n">
        <v>0</v>
      </c>
    </row>
    <row r="130" customFormat="false" ht="23.85" hidden="false" customHeight="false" outlineLevel="0" collapsed="false">
      <c r="A130" s="23" t="s">
        <v>1589</v>
      </c>
      <c r="B130" s="24" t="s">
        <v>245</v>
      </c>
      <c r="C130" s="25" t="s">
        <v>246</v>
      </c>
      <c r="D130" s="25" t="str">
        <f aca="false">IFERROR(INDEX(Equipements!$B$6:$B$200,MATCH($B130,Equipements!$A$6:$A$200,0)),"?")</f>
        <v>Chauffage &amp; climatisation</v>
      </c>
      <c r="E130" s="26" t="s">
        <v>1590</v>
      </c>
      <c r="F130" s="24" t="s">
        <v>927</v>
      </c>
      <c r="G130" s="24" t="n">
        <v>12</v>
      </c>
      <c r="H130" s="25" t="s">
        <v>1027</v>
      </c>
      <c r="I130" s="25" t="s">
        <v>1064</v>
      </c>
      <c r="J130" s="24" t="n">
        <v>5</v>
      </c>
      <c r="K130" s="25" t="s">
        <v>1591</v>
      </c>
      <c r="L130" s="25" t="s">
        <v>1592</v>
      </c>
      <c r="M130" s="25" t="s">
        <v>1593</v>
      </c>
      <c r="N130" s="24" t="s">
        <v>192</v>
      </c>
      <c r="O130" s="24" t="s">
        <v>56</v>
      </c>
      <c r="P130" s="23" t="s">
        <v>933</v>
      </c>
      <c r="Q130" s="24" t="n">
        <v>5</v>
      </c>
    </row>
    <row r="131" customFormat="false" ht="23.85" hidden="false" customHeight="false" outlineLevel="0" collapsed="false">
      <c r="A131" s="17" t="s">
        <v>1594</v>
      </c>
      <c r="B131" s="16" t="s">
        <v>265</v>
      </c>
      <c r="C131" s="19" t="s">
        <v>266</v>
      </c>
      <c r="D131" s="19" t="str">
        <f aca="false">IFERROR(INDEX(Equipements!$B$6:$B$200,MATCH($B131,Equipements!$A$6:$A$200,0)),"?")</f>
        <v>Chauffage &amp; climatisation</v>
      </c>
      <c r="E131" s="18" t="s">
        <v>1595</v>
      </c>
      <c r="F131" s="16" t="s">
        <v>202</v>
      </c>
      <c r="G131" s="16" t="n">
        <v>12</v>
      </c>
      <c r="H131" s="19" t="s">
        <v>919</v>
      </c>
      <c r="I131" s="19" t="s">
        <v>943</v>
      </c>
      <c r="J131" s="16" t="n">
        <v>60</v>
      </c>
      <c r="K131" s="19" t="s">
        <v>1596</v>
      </c>
      <c r="L131" s="19" t="s">
        <v>1597</v>
      </c>
      <c r="M131" s="19" t="s">
        <v>1598</v>
      </c>
      <c r="N131" s="17" t="s">
        <v>97</v>
      </c>
      <c r="O131" s="16" t="s">
        <v>56</v>
      </c>
      <c r="P131" s="17" t="s">
        <v>924</v>
      </c>
      <c r="Q131" s="16" t="n">
        <v>0</v>
      </c>
    </row>
    <row r="132" customFormat="false" ht="23.85" hidden="false" customHeight="false" outlineLevel="0" collapsed="false">
      <c r="A132" s="13" t="s">
        <v>1599</v>
      </c>
      <c r="B132" s="27" t="s">
        <v>280</v>
      </c>
      <c r="C132" s="28" t="s">
        <v>281</v>
      </c>
      <c r="D132" s="28" t="str">
        <f aca="false">IFERROR(INDEX(Equipements!$B$6:$B$200,MATCH($B132,Equipements!$A$6:$A$200,0)),"?")</f>
        <v>Chauffage &amp; climatisation</v>
      </c>
      <c r="E132" s="12" t="s">
        <v>1600</v>
      </c>
      <c r="F132" s="27" t="s">
        <v>202</v>
      </c>
      <c r="G132" s="27" t="n">
        <v>60</v>
      </c>
      <c r="H132" s="28" t="s">
        <v>1198</v>
      </c>
      <c r="I132" s="28" t="s">
        <v>929</v>
      </c>
      <c r="J132" s="27" t="n">
        <v>45</v>
      </c>
      <c r="K132" s="28" t="s">
        <v>1601</v>
      </c>
      <c r="L132" s="28" t="s">
        <v>1602</v>
      </c>
      <c r="M132" s="28" t="s">
        <v>1603</v>
      </c>
      <c r="N132" s="27" t="s">
        <v>192</v>
      </c>
      <c r="O132" s="27" t="s">
        <v>58</v>
      </c>
      <c r="P132" s="13" t="s">
        <v>933</v>
      </c>
      <c r="Q132" s="27" t="n">
        <v>0</v>
      </c>
    </row>
    <row r="133" customFormat="false" ht="23.85" hidden="false" customHeight="false" outlineLevel="0" collapsed="false">
      <c r="A133" s="13" t="s">
        <v>1604</v>
      </c>
      <c r="B133" s="27" t="s">
        <v>347</v>
      </c>
      <c r="C133" s="28" t="s">
        <v>348</v>
      </c>
      <c r="D133" s="28" t="str">
        <f aca="false">IFERROR(INDEX(Equipements!$B$6:$B$200,MATCH($B133,Equipements!$A$6:$A$200,0)),"?")</f>
        <v>Chauffage &amp; climatisation</v>
      </c>
      <c r="E133" s="12" t="s">
        <v>1605</v>
      </c>
      <c r="F133" s="27" t="s">
        <v>202</v>
      </c>
      <c r="G133" s="27" t="n">
        <v>12</v>
      </c>
      <c r="H133" s="28" t="s">
        <v>1027</v>
      </c>
      <c r="I133" s="28" t="s">
        <v>1040</v>
      </c>
      <c r="J133" s="27" t="n">
        <v>45</v>
      </c>
      <c r="K133" s="28" t="s">
        <v>1606</v>
      </c>
      <c r="L133" s="28" t="s">
        <v>1607</v>
      </c>
      <c r="M133" s="28" t="s">
        <v>1608</v>
      </c>
      <c r="N133" s="27" t="s">
        <v>192</v>
      </c>
      <c r="O133" s="27" t="s">
        <v>58</v>
      </c>
      <c r="P133" s="13" t="s">
        <v>940</v>
      </c>
      <c r="Q133" s="27" t="n">
        <v>0</v>
      </c>
    </row>
    <row r="134" customFormat="false" ht="23.85" hidden="false" customHeight="false" outlineLevel="0" collapsed="false">
      <c r="A134" s="23" t="s">
        <v>1609</v>
      </c>
      <c r="B134" s="24" t="s">
        <v>376</v>
      </c>
      <c r="C134" s="25" t="s">
        <v>377</v>
      </c>
      <c r="D134" s="25" t="str">
        <f aca="false">IFERROR(INDEX(Equipements!$B$6:$B$200,MATCH($B134,Equipements!$A$6:$A$200,0)),"?")</f>
        <v>Cuisine</v>
      </c>
      <c r="E134" s="26" t="s">
        <v>1610</v>
      </c>
      <c r="F134" s="24" t="s">
        <v>927</v>
      </c>
      <c r="G134" s="24" t="n">
        <v>12</v>
      </c>
      <c r="H134" s="25" t="s">
        <v>1027</v>
      </c>
      <c r="I134" s="25" t="s">
        <v>929</v>
      </c>
      <c r="J134" s="24" t="n">
        <v>10</v>
      </c>
      <c r="K134" s="25" t="s">
        <v>1269</v>
      </c>
      <c r="L134" s="25" t="s">
        <v>1611</v>
      </c>
      <c r="M134" s="25" t="s">
        <v>1612</v>
      </c>
      <c r="N134" s="24" t="s">
        <v>192</v>
      </c>
      <c r="O134" s="24" t="s">
        <v>56</v>
      </c>
      <c r="P134" s="23" t="s">
        <v>940</v>
      </c>
      <c r="Q134" s="24" t="n">
        <v>10</v>
      </c>
    </row>
    <row r="135" customFormat="false" ht="23.85" hidden="false" customHeight="false" outlineLevel="0" collapsed="false">
      <c r="A135" s="23" t="s">
        <v>1613</v>
      </c>
      <c r="B135" s="24" t="s">
        <v>405</v>
      </c>
      <c r="C135" s="25" t="s">
        <v>406</v>
      </c>
      <c r="D135" s="25" t="str">
        <f aca="false">IFERROR(INDEX(Equipements!$B$6:$B$200,MATCH($B135,Equipements!$A$6:$A$200,0)),"?")</f>
        <v>Buanderie</v>
      </c>
      <c r="E135" s="26" t="s">
        <v>1614</v>
      </c>
      <c r="F135" s="24" t="s">
        <v>927</v>
      </c>
      <c r="G135" s="24" t="n">
        <v>3</v>
      </c>
      <c r="H135" s="25" t="s">
        <v>1615</v>
      </c>
      <c r="I135" s="25" t="s">
        <v>929</v>
      </c>
      <c r="J135" s="24" t="n">
        <v>30</v>
      </c>
      <c r="K135" s="25" t="s">
        <v>1616</v>
      </c>
      <c r="L135" s="25" t="s">
        <v>1617</v>
      </c>
      <c r="M135" s="25" t="s">
        <v>1618</v>
      </c>
      <c r="N135" s="24" t="s">
        <v>192</v>
      </c>
      <c r="O135" s="24" t="s">
        <v>56</v>
      </c>
      <c r="P135" s="23" t="s">
        <v>933</v>
      </c>
      <c r="Q135" s="24" t="n">
        <v>20</v>
      </c>
    </row>
    <row r="136" customFormat="false" ht="23.85" hidden="false" customHeight="false" outlineLevel="0" collapsed="false">
      <c r="A136" s="23" t="s">
        <v>1619</v>
      </c>
      <c r="B136" s="24" t="s">
        <v>417</v>
      </c>
      <c r="C136" s="25" t="s">
        <v>418</v>
      </c>
      <c r="D136" s="25" t="str">
        <f aca="false">IFERROR(INDEX(Equipements!$B$6:$B$200,MATCH($B136,Equipements!$A$6:$A$200,0)),"?")</f>
        <v>Cuisine</v>
      </c>
      <c r="E136" s="26" t="s">
        <v>1620</v>
      </c>
      <c r="F136" s="24" t="s">
        <v>927</v>
      </c>
      <c r="G136" s="24" t="n">
        <v>6</v>
      </c>
      <c r="H136" s="25" t="s">
        <v>711</v>
      </c>
      <c r="I136" s="25" t="s">
        <v>1021</v>
      </c>
      <c r="J136" s="24" t="n">
        <v>15</v>
      </c>
      <c r="K136" s="25" t="s">
        <v>1621</v>
      </c>
      <c r="L136" s="25" t="s">
        <v>1622</v>
      </c>
      <c r="M136" s="25" t="s">
        <v>1623</v>
      </c>
      <c r="N136" s="24" t="s">
        <v>192</v>
      </c>
      <c r="O136" s="24" t="s">
        <v>56</v>
      </c>
      <c r="P136" s="23" t="s">
        <v>940</v>
      </c>
      <c r="Q136" s="24" t="n">
        <v>15</v>
      </c>
    </row>
    <row r="137" customFormat="false" ht="23.85" hidden="false" customHeight="false" outlineLevel="0" collapsed="false">
      <c r="A137" s="23" t="s">
        <v>1624</v>
      </c>
      <c r="B137" s="24" t="s">
        <v>443</v>
      </c>
      <c r="C137" s="25" t="s">
        <v>444</v>
      </c>
      <c r="D137" s="25" t="str">
        <f aca="false">IFERROR(INDEX(Equipements!$B$6:$B$200,MATCH($B137,Equipements!$A$6:$A$200,0)),"?")</f>
        <v>Cuisine</v>
      </c>
      <c r="E137" s="26" t="s">
        <v>1625</v>
      </c>
      <c r="F137" s="24" t="s">
        <v>927</v>
      </c>
      <c r="G137" s="24" t="n">
        <v>12</v>
      </c>
      <c r="H137" s="25" t="s">
        <v>1027</v>
      </c>
      <c r="I137" s="25" t="s">
        <v>929</v>
      </c>
      <c r="J137" s="24" t="n">
        <v>5</v>
      </c>
      <c r="K137" s="25" t="s">
        <v>1029</v>
      </c>
      <c r="L137" s="25" t="s">
        <v>1626</v>
      </c>
      <c r="M137" s="25" t="s">
        <v>1627</v>
      </c>
      <c r="N137" s="24" t="s">
        <v>192</v>
      </c>
      <c r="O137" s="24" t="s">
        <v>56</v>
      </c>
      <c r="P137" s="23" t="s">
        <v>933</v>
      </c>
      <c r="Q137" s="24" t="n">
        <v>5</v>
      </c>
    </row>
    <row r="138" customFormat="false" ht="23.85" hidden="false" customHeight="false" outlineLevel="0" collapsed="false">
      <c r="A138" s="23" t="s">
        <v>1628</v>
      </c>
      <c r="B138" s="24" t="s">
        <v>470</v>
      </c>
      <c r="C138" s="25" t="s">
        <v>471</v>
      </c>
      <c r="D138" s="25" t="str">
        <f aca="false">IFERROR(INDEX(Equipements!$B$6:$B$200,MATCH($B138,Equipements!$A$6:$A$200,0)),"?")</f>
        <v>Petit electromenager</v>
      </c>
      <c r="E138" s="26" t="s">
        <v>1629</v>
      </c>
      <c r="F138" s="24" t="s">
        <v>927</v>
      </c>
      <c r="G138" s="24" t="n">
        <v>9</v>
      </c>
      <c r="H138" s="25" t="s">
        <v>1630</v>
      </c>
      <c r="I138" s="25" t="s">
        <v>929</v>
      </c>
      <c r="J138" s="24" t="n">
        <v>10</v>
      </c>
      <c r="K138" s="25" t="s">
        <v>1631</v>
      </c>
      <c r="L138" s="25" t="s">
        <v>1632</v>
      </c>
      <c r="M138" s="25" t="s">
        <v>1633</v>
      </c>
      <c r="N138" s="24" t="s">
        <v>192</v>
      </c>
      <c r="O138" s="24" t="s">
        <v>56</v>
      </c>
      <c r="P138" s="23" t="s">
        <v>940</v>
      </c>
      <c r="Q138" s="24" t="n">
        <v>10</v>
      </c>
    </row>
    <row r="139" customFormat="false" ht="23.85" hidden="false" customHeight="false" outlineLevel="0" collapsed="false">
      <c r="A139" s="23" t="s">
        <v>1634</v>
      </c>
      <c r="B139" s="24" t="s">
        <v>478</v>
      </c>
      <c r="C139" s="25" t="s">
        <v>479</v>
      </c>
      <c r="D139" s="25" t="str">
        <f aca="false">IFERROR(INDEX(Equipements!$B$6:$B$200,MATCH($B139,Equipements!$A$6:$A$200,0)),"?")</f>
        <v>Petit electromenager</v>
      </c>
      <c r="E139" s="26" t="s">
        <v>1635</v>
      </c>
      <c r="F139" s="24" t="s">
        <v>927</v>
      </c>
      <c r="G139" s="24" t="n">
        <v>1</v>
      </c>
      <c r="H139" s="25" t="s">
        <v>1564</v>
      </c>
      <c r="I139" s="25" t="s">
        <v>949</v>
      </c>
      <c r="J139" s="24" t="n">
        <v>10</v>
      </c>
      <c r="K139" s="25" t="s">
        <v>1636</v>
      </c>
      <c r="L139" s="25" t="s">
        <v>1637</v>
      </c>
      <c r="M139" s="25" t="s">
        <v>1638</v>
      </c>
      <c r="N139" s="24" t="s">
        <v>192</v>
      </c>
      <c r="O139" s="24" t="s">
        <v>56</v>
      </c>
      <c r="P139" s="23" t="s">
        <v>940</v>
      </c>
      <c r="Q139" s="24" t="n">
        <v>10</v>
      </c>
    </row>
    <row r="140" customFormat="false" ht="23.85" hidden="false" customHeight="false" outlineLevel="0" collapsed="false">
      <c r="A140" s="23" t="s">
        <v>1639</v>
      </c>
      <c r="B140" s="24" t="s">
        <v>483</v>
      </c>
      <c r="C140" s="25" t="s">
        <v>484</v>
      </c>
      <c r="D140" s="25" t="str">
        <f aca="false">IFERROR(INDEX(Equipements!$B$6:$B$200,MATCH($B140,Equipements!$A$6:$A$200,0)),"?")</f>
        <v>Buanderie</v>
      </c>
      <c r="E140" s="26" t="s">
        <v>1640</v>
      </c>
      <c r="F140" s="24" t="s">
        <v>927</v>
      </c>
      <c r="G140" s="24" t="n">
        <v>2</v>
      </c>
      <c r="H140" s="25" t="s">
        <v>1257</v>
      </c>
      <c r="I140" s="25" t="s">
        <v>929</v>
      </c>
      <c r="J140" s="24" t="n">
        <v>20</v>
      </c>
      <c r="K140" s="25" t="s">
        <v>1641</v>
      </c>
      <c r="L140" s="25" t="s">
        <v>1642</v>
      </c>
      <c r="M140" s="25" t="s">
        <v>1643</v>
      </c>
      <c r="N140" s="24" t="s">
        <v>192</v>
      </c>
      <c r="O140" s="24" t="s">
        <v>56</v>
      </c>
      <c r="P140" s="23" t="s">
        <v>940</v>
      </c>
      <c r="Q140" s="24" t="n">
        <v>10</v>
      </c>
    </row>
    <row r="141" customFormat="false" ht="23.85" hidden="false" customHeight="false" outlineLevel="0" collapsed="false">
      <c r="A141" s="23" t="s">
        <v>1644</v>
      </c>
      <c r="B141" s="24" t="s">
        <v>496</v>
      </c>
      <c r="C141" s="25" t="s">
        <v>497</v>
      </c>
      <c r="D141" s="25" t="str">
        <f aca="false">IFERROR(INDEX(Equipements!$B$6:$B$200,MATCH($B141,Equipements!$A$6:$A$200,0)),"?")</f>
        <v>Maison &amp; securite</v>
      </c>
      <c r="E141" s="26" t="s">
        <v>1645</v>
      </c>
      <c r="F141" s="24" t="s">
        <v>927</v>
      </c>
      <c r="G141" s="24" t="n">
        <v>1</v>
      </c>
      <c r="H141" s="25" t="s">
        <v>928</v>
      </c>
      <c r="I141" s="25" t="s">
        <v>929</v>
      </c>
      <c r="J141" s="24" t="n">
        <v>5</v>
      </c>
      <c r="K141" s="25" t="s">
        <v>1646</v>
      </c>
      <c r="L141" s="25" t="s">
        <v>1647</v>
      </c>
      <c r="M141" s="25" t="s">
        <v>1648</v>
      </c>
      <c r="N141" s="24" t="s">
        <v>192</v>
      </c>
      <c r="O141" s="24" t="s">
        <v>56</v>
      </c>
      <c r="P141" s="23" t="s">
        <v>940</v>
      </c>
      <c r="Q141" s="24" t="n">
        <v>5</v>
      </c>
    </row>
    <row r="142" customFormat="false" ht="23.85" hidden="false" customHeight="false" outlineLevel="0" collapsed="false">
      <c r="A142" s="17" t="s">
        <v>1649</v>
      </c>
      <c r="B142" s="16" t="s">
        <v>519</v>
      </c>
      <c r="C142" s="19" t="s">
        <v>520</v>
      </c>
      <c r="D142" s="19" t="str">
        <f aca="false">IFERROR(INDEX(Equipements!$B$6:$B$200,MATCH($B142,Equipements!$A$6:$A$200,0)),"?")</f>
        <v>Maison &amp; securite</v>
      </c>
      <c r="E142" s="18" t="s">
        <v>1650</v>
      </c>
      <c r="F142" s="16" t="s">
        <v>927</v>
      </c>
      <c r="G142" s="16" t="n">
        <v>120</v>
      </c>
      <c r="H142" s="19" t="s">
        <v>1651</v>
      </c>
      <c r="I142" s="19" t="s">
        <v>1088</v>
      </c>
      <c r="J142" s="16" t="n">
        <v>60</v>
      </c>
      <c r="K142" s="19" t="s">
        <v>1652</v>
      </c>
      <c r="L142" s="19" t="s">
        <v>1653</v>
      </c>
      <c r="M142" s="19" t="s">
        <v>1654</v>
      </c>
      <c r="N142" s="17" t="s">
        <v>97</v>
      </c>
      <c r="O142" s="16" t="s">
        <v>58</v>
      </c>
      <c r="P142" s="17" t="s">
        <v>924</v>
      </c>
      <c r="Q142" s="16" t="n">
        <v>60</v>
      </c>
    </row>
    <row r="143" customFormat="false" ht="23.85" hidden="false" customHeight="false" outlineLevel="0" collapsed="false">
      <c r="A143" s="23" t="s">
        <v>1655</v>
      </c>
      <c r="B143" s="24" t="s">
        <v>537</v>
      </c>
      <c r="C143" s="25" t="s">
        <v>538</v>
      </c>
      <c r="D143" s="25" t="str">
        <f aca="false">IFERROR(INDEX(Equipements!$B$6:$B$200,MATCH($B143,Equipements!$A$6:$A$200,0)),"?")</f>
        <v>Maison &amp; securite</v>
      </c>
      <c r="E143" s="26" t="s">
        <v>1656</v>
      </c>
      <c r="F143" s="24" t="s">
        <v>927</v>
      </c>
      <c r="G143" s="24" t="n">
        <v>12</v>
      </c>
      <c r="H143" s="25" t="s">
        <v>1027</v>
      </c>
      <c r="I143" s="25" t="s">
        <v>1040</v>
      </c>
      <c r="J143" s="24" t="n">
        <v>20</v>
      </c>
      <c r="K143" s="25" t="s">
        <v>937</v>
      </c>
      <c r="L143" s="25" t="s">
        <v>1657</v>
      </c>
      <c r="M143" s="25" t="s">
        <v>1658</v>
      </c>
      <c r="N143" s="24" t="s">
        <v>192</v>
      </c>
      <c r="O143" s="24" t="s">
        <v>56</v>
      </c>
      <c r="P143" s="23" t="s">
        <v>940</v>
      </c>
      <c r="Q143" s="24" t="n">
        <v>20</v>
      </c>
    </row>
    <row r="144" customFormat="false" ht="23.85" hidden="false" customHeight="false" outlineLevel="0" collapsed="false">
      <c r="A144" s="13" t="s">
        <v>1659</v>
      </c>
      <c r="B144" s="27" t="s">
        <v>543</v>
      </c>
      <c r="C144" s="28" t="s">
        <v>544</v>
      </c>
      <c r="D144" s="28" t="str">
        <f aca="false">IFERROR(INDEX(Equipements!$B$6:$B$200,MATCH($B144,Equipements!$A$6:$A$200,0)),"?")</f>
        <v>Maison &amp; securite</v>
      </c>
      <c r="E144" s="12" t="s">
        <v>1660</v>
      </c>
      <c r="F144" s="27" t="s">
        <v>202</v>
      </c>
      <c r="G144" s="27" t="n">
        <v>24</v>
      </c>
      <c r="H144" s="28" t="s">
        <v>170</v>
      </c>
      <c r="I144" s="28" t="s">
        <v>1661</v>
      </c>
      <c r="J144" s="27" t="n">
        <v>30</v>
      </c>
      <c r="K144" s="28" t="s">
        <v>112</v>
      </c>
      <c r="L144" s="28" t="s">
        <v>1662</v>
      </c>
      <c r="M144" s="28" t="s">
        <v>1663</v>
      </c>
      <c r="N144" s="27" t="s">
        <v>192</v>
      </c>
      <c r="O144" s="27" t="s">
        <v>58</v>
      </c>
      <c r="P144" s="13" t="s">
        <v>940</v>
      </c>
      <c r="Q144" s="27" t="n">
        <v>0</v>
      </c>
    </row>
    <row r="145" customFormat="false" ht="23.85" hidden="false" customHeight="false" outlineLevel="0" collapsed="false">
      <c r="A145" s="13" t="s">
        <v>1664</v>
      </c>
      <c r="B145" s="27" t="s">
        <v>579</v>
      </c>
      <c r="C145" s="28" t="s">
        <v>580</v>
      </c>
      <c r="D145" s="28" t="str">
        <f aca="false">IFERROR(INDEX(Equipements!$B$6:$B$200,MATCH($B145,Equipements!$A$6:$A$200,0)),"?")</f>
        <v>Maison &amp; securite</v>
      </c>
      <c r="E145" s="12" t="s">
        <v>1665</v>
      </c>
      <c r="F145" s="27" t="s">
        <v>202</v>
      </c>
      <c r="G145" s="27" t="n">
        <v>30</v>
      </c>
      <c r="H145" s="28" t="s">
        <v>1666</v>
      </c>
      <c r="I145" s="28" t="s">
        <v>929</v>
      </c>
      <c r="J145" s="27" t="n">
        <v>90</v>
      </c>
      <c r="K145" s="28" t="s">
        <v>1667</v>
      </c>
      <c r="L145" s="28" t="s">
        <v>1668</v>
      </c>
      <c r="M145" s="28" t="s">
        <v>1669</v>
      </c>
      <c r="N145" s="27" t="s">
        <v>192</v>
      </c>
      <c r="O145" s="27" t="s">
        <v>60</v>
      </c>
      <c r="P145" s="13" t="s">
        <v>940</v>
      </c>
      <c r="Q145" s="27" t="n">
        <v>0</v>
      </c>
    </row>
    <row r="146" customFormat="false" ht="23.85" hidden="false" customHeight="false" outlineLevel="0" collapsed="false">
      <c r="A146" s="13" t="s">
        <v>1670</v>
      </c>
      <c r="B146" s="27" t="s">
        <v>598</v>
      </c>
      <c r="C146" s="28" t="s">
        <v>599</v>
      </c>
      <c r="D146" s="28" t="str">
        <f aca="false">IFERROR(INDEX(Equipements!$B$6:$B$200,MATCH($B146,Equipements!$A$6:$A$200,0)),"?")</f>
        <v>Energie</v>
      </c>
      <c r="E146" s="12" t="s">
        <v>1671</v>
      </c>
      <c r="F146" s="27" t="s">
        <v>202</v>
      </c>
      <c r="G146" s="27" t="n">
        <v>12</v>
      </c>
      <c r="H146" s="28" t="s">
        <v>1027</v>
      </c>
      <c r="I146" s="28" t="s">
        <v>929</v>
      </c>
      <c r="J146" s="27" t="n">
        <v>45</v>
      </c>
      <c r="K146" s="28" t="s">
        <v>112</v>
      </c>
      <c r="L146" s="28" t="s">
        <v>1672</v>
      </c>
      <c r="M146" s="28" t="s">
        <v>1673</v>
      </c>
      <c r="N146" s="27" t="s">
        <v>192</v>
      </c>
      <c r="O146" s="27" t="s">
        <v>58</v>
      </c>
      <c r="P146" s="13" t="s">
        <v>933</v>
      </c>
      <c r="Q146" s="27" t="n">
        <v>0</v>
      </c>
    </row>
    <row r="147" customFormat="false" ht="35.05" hidden="false" customHeight="false" outlineLevel="0" collapsed="false">
      <c r="A147" s="17" t="s">
        <v>1674</v>
      </c>
      <c r="B147" s="16" t="s">
        <v>622</v>
      </c>
      <c r="C147" s="19" t="s">
        <v>623</v>
      </c>
      <c r="D147" s="19" t="str">
        <f aca="false">IFERROR(INDEX(Equipements!$B$6:$B$200,MATCH($B147,Equipements!$A$6:$A$200,0)),"?")</f>
        <v>Energie</v>
      </c>
      <c r="E147" s="18" t="s">
        <v>1675</v>
      </c>
      <c r="F147" s="16" t="s">
        <v>202</v>
      </c>
      <c r="G147" s="16" t="n">
        <v>36</v>
      </c>
      <c r="H147" s="19" t="s">
        <v>1676</v>
      </c>
      <c r="I147" s="19" t="s">
        <v>1677</v>
      </c>
      <c r="J147" s="16" t="n">
        <v>90</v>
      </c>
      <c r="K147" s="19" t="s">
        <v>627</v>
      </c>
      <c r="L147" s="19" t="s">
        <v>1678</v>
      </c>
      <c r="M147" s="19" t="s">
        <v>1679</v>
      </c>
      <c r="N147" s="17" t="s">
        <v>97</v>
      </c>
      <c r="O147" s="16" t="s">
        <v>58</v>
      </c>
      <c r="P147" s="17" t="s">
        <v>924</v>
      </c>
      <c r="Q147" s="16" t="n">
        <v>0</v>
      </c>
    </row>
    <row r="148" customFormat="false" ht="23.85" hidden="false" customHeight="false" outlineLevel="0" collapsed="false">
      <c r="A148" s="13" t="s">
        <v>1680</v>
      </c>
      <c r="B148" s="27" t="s">
        <v>657</v>
      </c>
      <c r="C148" s="28" t="s">
        <v>658</v>
      </c>
      <c r="D148" s="28" t="str">
        <f aca="false">IFERROR(INDEX(Equipements!$B$6:$B$200,MATCH($B148,Equipements!$A$6:$A$200,0)),"?")</f>
        <v>Maison &amp; securite</v>
      </c>
      <c r="E148" s="12" t="s">
        <v>1681</v>
      </c>
      <c r="F148" s="27" t="s">
        <v>202</v>
      </c>
      <c r="G148" s="27" t="n">
        <v>12</v>
      </c>
      <c r="H148" s="28" t="s">
        <v>1027</v>
      </c>
      <c r="I148" s="28" t="s">
        <v>929</v>
      </c>
      <c r="J148" s="27" t="n">
        <v>15</v>
      </c>
      <c r="K148" s="28" t="s">
        <v>1682</v>
      </c>
      <c r="L148" s="28" t="s">
        <v>1683</v>
      </c>
      <c r="M148" s="28" t="s">
        <v>1684</v>
      </c>
      <c r="N148" s="27" t="s">
        <v>225</v>
      </c>
      <c r="O148" s="27" t="s">
        <v>58</v>
      </c>
      <c r="P148" s="13" t="s">
        <v>940</v>
      </c>
      <c r="Q148" s="27" t="n">
        <v>0</v>
      </c>
    </row>
    <row r="149" customFormat="false" ht="23.85" hidden="false" customHeight="false" outlineLevel="0" collapsed="false">
      <c r="A149" s="23" t="s">
        <v>1685</v>
      </c>
      <c r="B149" s="24" t="s">
        <v>674</v>
      </c>
      <c r="C149" s="25" t="s">
        <v>675</v>
      </c>
      <c r="D149" s="25" t="str">
        <f aca="false">IFERROR(INDEX(Equipements!$B$6:$B$200,MATCH($B149,Equipements!$A$6:$A$200,0)),"?")</f>
        <v>Maison &amp; securite</v>
      </c>
      <c r="E149" s="26" t="s">
        <v>1686</v>
      </c>
      <c r="F149" s="24" t="s">
        <v>927</v>
      </c>
      <c r="G149" s="24" t="n">
        <v>6</v>
      </c>
      <c r="H149" s="25" t="s">
        <v>711</v>
      </c>
      <c r="I149" s="25" t="s">
        <v>1021</v>
      </c>
      <c r="J149" s="24" t="n">
        <v>20</v>
      </c>
      <c r="K149" s="25" t="s">
        <v>1400</v>
      </c>
      <c r="L149" s="25" t="s">
        <v>1687</v>
      </c>
      <c r="M149" s="25" t="s">
        <v>1688</v>
      </c>
      <c r="N149" s="24" t="s">
        <v>192</v>
      </c>
      <c r="O149" s="24" t="s">
        <v>56</v>
      </c>
      <c r="P149" s="23" t="s">
        <v>940</v>
      </c>
      <c r="Q149" s="24" t="n">
        <v>20</v>
      </c>
    </row>
    <row r="150" customFormat="false" ht="23.85" hidden="false" customHeight="false" outlineLevel="0" collapsed="false">
      <c r="A150" s="23" t="s">
        <v>1689</v>
      </c>
      <c r="B150" s="24" t="s">
        <v>680</v>
      </c>
      <c r="C150" s="25" t="s">
        <v>681</v>
      </c>
      <c r="D150" s="25" t="str">
        <f aca="false">IFERROR(INDEX(Equipements!$B$6:$B$200,MATCH($B150,Equipements!$A$6:$A$200,0)),"?")</f>
        <v>Maison &amp; securite</v>
      </c>
      <c r="E150" s="26" t="s">
        <v>1690</v>
      </c>
      <c r="F150" s="24" t="s">
        <v>927</v>
      </c>
      <c r="G150" s="24" t="n">
        <v>12</v>
      </c>
      <c r="H150" s="25" t="s">
        <v>1027</v>
      </c>
      <c r="I150" s="25" t="s">
        <v>1040</v>
      </c>
      <c r="J150" s="24" t="n">
        <v>15</v>
      </c>
      <c r="K150" s="25" t="s">
        <v>1691</v>
      </c>
      <c r="L150" s="25" t="s">
        <v>1692</v>
      </c>
      <c r="M150" s="25" t="s">
        <v>1693</v>
      </c>
      <c r="N150" s="24" t="s">
        <v>192</v>
      </c>
      <c r="O150" s="24" t="s">
        <v>56</v>
      </c>
      <c r="P150" s="23" t="s">
        <v>940</v>
      </c>
      <c r="Q150" s="24" t="n">
        <v>15</v>
      </c>
    </row>
    <row r="151" customFormat="false" ht="23.85" hidden="false" customHeight="false" outlineLevel="0" collapsed="false">
      <c r="A151" s="23" t="s">
        <v>1694</v>
      </c>
      <c r="B151" s="24" t="s">
        <v>729</v>
      </c>
      <c r="C151" s="25" t="s">
        <v>730</v>
      </c>
      <c r="D151" s="25" t="str">
        <f aca="false">IFERROR(INDEX(Equipements!$B$6:$B$200,MATCH($B151,Equipements!$A$6:$A$200,0)),"?")</f>
        <v>Maison &amp; securite</v>
      </c>
      <c r="E151" s="26" t="s">
        <v>1695</v>
      </c>
      <c r="F151" s="24" t="s">
        <v>927</v>
      </c>
      <c r="G151" s="24" t="n">
        <v>12</v>
      </c>
      <c r="H151" s="25" t="s">
        <v>1027</v>
      </c>
      <c r="I151" s="25" t="s">
        <v>1501</v>
      </c>
      <c r="J151" s="24" t="n">
        <v>45</v>
      </c>
      <c r="K151" s="25" t="s">
        <v>1696</v>
      </c>
      <c r="L151" s="25" t="s">
        <v>1697</v>
      </c>
      <c r="M151" s="25" t="s">
        <v>1698</v>
      </c>
      <c r="N151" s="24" t="s">
        <v>192</v>
      </c>
      <c r="O151" s="24" t="s">
        <v>56</v>
      </c>
      <c r="P151" s="23" t="s">
        <v>940</v>
      </c>
      <c r="Q151" s="24" t="n">
        <v>45</v>
      </c>
    </row>
    <row r="152" customFormat="false" ht="23.85" hidden="false" customHeight="false" outlineLevel="0" collapsed="false">
      <c r="A152" s="17" t="s">
        <v>1699</v>
      </c>
      <c r="B152" s="16" t="s">
        <v>767</v>
      </c>
      <c r="C152" s="19" t="s">
        <v>768</v>
      </c>
      <c r="D152" s="19" t="str">
        <f aca="false">IFERROR(INDEX(Equipements!$B$6:$B$200,MATCH($B152,Equipements!$A$6:$A$200,0)),"?")</f>
        <v>Jardin &amp; piscine</v>
      </c>
      <c r="E152" s="18" t="s">
        <v>1700</v>
      </c>
      <c r="F152" s="16" t="s">
        <v>202</v>
      </c>
      <c r="G152" s="16" t="n">
        <v>24</v>
      </c>
      <c r="H152" s="19" t="s">
        <v>170</v>
      </c>
      <c r="I152" s="19" t="s">
        <v>1701</v>
      </c>
      <c r="J152" s="16" t="n">
        <v>60</v>
      </c>
      <c r="K152" s="19" t="s">
        <v>112</v>
      </c>
      <c r="L152" s="19" t="s">
        <v>1702</v>
      </c>
      <c r="M152" s="19" t="s">
        <v>1703</v>
      </c>
      <c r="N152" s="17" t="s">
        <v>97</v>
      </c>
      <c r="O152" s="16" t="s">
        <v>56</v>
      </c>
      <c r="P152" s="17" t="s">
        <v>924</v>
      </c>
      <c r="Q152" s="16" t="n">
        <v>0</v>
      </c>
    </row>
    <row r="153" customFormat="false" ht="23.85" hidden="false" customHeight="false" outlineLevel="0" collapsed="false">
      <c r="A153" s="23" t="s">
        <v>1704</v>
      </c>
      <c r="B153" s="24" t="s">
        <v>771</v>
      </c>
      <c r="C153" s="25" t="s">
        <v>772</v>
      </c>
      <c r="D153" s="25" t="str">
        <f aca="false">IFERROR(INDEX(Equipements!$B$6:$B$200,MATCH($B153,Equipements!$A$6:$A$200,0)),"?")</f>
        <v>Jardin &amp; piscine</v>
      </c>
      <c r="E153" s="26" t="s">
        <v>1705</v>
      </c>
      <c r="F153" s="24" t="s">
        <v>927</v>
      </c>
      <c r="G153" s="24" t="n">
        <v>1</v>
      </c>
      <c r="H153" s="25" t="s">
        <v>1706</v>
      </c>
      <c r="I153" s="25" t="s">
        <v>1424</v>
      </c>
      <c r="J153" s="24" t="n">
        <v>15</v>
      </c>
      <c r="K153" s="25" t="s">
        <v>1707</v>
      </c>
      <c r="L153" s="25" t="s">
        <v>1708</v>
      </c>
      <c r="M153" s="25" t="s">
        <v>1709</v>
      </c>
      <c r="N153" s="24" t="s">
        <v>192</v>
      </c>
      <c r="O153" s="24" t="s">
        <v>56</v>
      </c>
      <c r="P153" s="23" t="s">
        <v>940</v>
      </c>
      <c r="Q153" s="24" t="n">
        <v>15</v>
      </c>
    </row>
    <row r="154" customFormat="false" ht="23.85" hidden="false" customHeight="false" outlineLevel="0" collapsed="false">
      <c r="A154" s="23" t="s">
        <v>1710</v>
      </c>
      <c r="B154" s="24" t="s">
        <v>805</v>
      </c>
      <c r="C154" s="25" t="s">
        <v>806</v>
      </c>
      <c r="D154" s="25" t="str">
        <f aca="false">IFERROR(INDEX(Equipements!$B$6:$B$200,MATCH($B154,Equipements!$A$6:$A$200,0)),"?")</f>
        <v>Jardin &amp; piscine</v>
      </c>
      <c r="E154" s="26" t="s">
        <v>1711</v>
      </c>
      <c r="F154" s="24" t="s">
        <v>927</v>
      </c>
      <c r="G154" s="24" t="n">
        <v>12</v>
      </c>
      <c r="H154" s="25" t="s">
        <v>1027</v>
      </c>
      <c r="I154" s="25" t="s">
        <v>1712</v>
      </c>
      <c r="J154" s="24" t="n">
        <v>45</v>
      </c>
      <c r="K154" s="25" t="s">
        <v>1713</v>
      </c>
      <c r="L154" s="25" t="s">
        <v>1714</v>
      </c>
      <c r="M154" s="25" t="s">
        <v>1715</v>
      </c>
      <c r="N154" s="24" t="s">
        <v>192</v>
      </c>
      <c r="O154" s="24" t="s">
        <v>56</v>
      </c>
      <c r="P154" s="23" t="s">
        <v>940</v>
      </c>
      <c r="Q154" s="24" t="n">
        <v>45</v>
      </c>
    </row>
    <row r="155" customFormat="false" ht="23.85" hidden="false" customHeight="false" outlineLevel="0" collapsed="false">
      <c r="A155" s="23" t="s">
        <v>1716</v>
      </c>
      <c r="B155" s="24" t="s">
        <v>827</v>
      </c>
      <c r="C155" s="25" t="s">
        <v>828</v>
      </c>
      <c r="D155" s="25" t="str">
        <f aca="false">IFERROR(INDEX(Equipements!$B$6:$B$200,MATCH($B155,Equipements!$A$6:$A$200,0)),"?")</f>
        <v>Jardin &amp; piscine</v>
      </c>
      <c r="E155" s="26" t="s">
        <v>1717</v>
      </c>
      <c r="F155" s="24" t="s">
        <v>927</v>
      </c>
      <c r="G155" s="24" t="n">
        <v>30</v>
      </c>
      <c r="H155" s="25" t="s">
        <v>1666</v>
      </c>
      <c r="I155" s="25" t="s">
        <v>1718</v>
      </c>
      <c r="J155" s="24" t="n">
        <v>240</v>
      </c>
      <c r="K155" s="25" t="s">
        <v>1719</v>
      </c>
      <c r="L155" s="25" t="s">
        <v>1720</v>
      </c>
      <c r="M155" s="25" t="s">
        <v>1721</v>
      </c>
      <c r="N155" s="24" t="s">
        <v>192</v>
      </c>
      <c r="O155" s="24" t="s">
        <v>56</v>
      </c>
      <c r="P155" s="23" t="s">
        <v>940</v>
      </c>
      <c r="Q155" s="24" t="n">
        <v>180</v>
      </c>
    </row>
    <row r="156" customFormat="false" ht="23.85" hidden="false" customHeight="false" outlineLevel="0" collapsed="false">
      <c r="A156" s="23" t="s">
        <v>1722</v>
      </c>
      <c r="B156" s="24" t="s">
        <v>845</v>
      </c>
      <c r="C156" s="25" t="s">
        <v>846</v>
      </c>
      <c r="D156" s="25" t="str">
        <f aca="false">IFERROR(INDEX(Equipements!$B$6:$B$200,MATCH($B156,Equipements!$A$6:$A$200,0)),"?")</f>
        <v>Maison &amp; securite</v>
      </c>
      <c r="E156" s="26" t="s">
        <v>1723</v>
      </c>
      <c r="F156" s="24" t="s">
        <v>927</v>
      </c>
      <c r="G156" s="24" t="n">
        <v>12</v>
      </c>
      <c r="H156" s="25" t="s">
        <v>1027</v>
      </c>
      <c r="I156" s="25" t="s">
        <v>1724</v>
      </c>
      <c r="J156" s="24" t="n">
        <v>30</v>
      </c>
      <c r="K156" s="25" t="s">
        <v>1513</v>
      </c>
      <c r="L156" s="25" t="s">
        <v>1725</v>
      </c>
      <c r="M156" s="25" t="s">
        <v>1726</v>
      </c>
      <c r="N156" s="24" t="s">
        <v>225</v>
      </c>
      <c r="O156" s="24" t="s">
        <v>56</v>
      </c>
      <c r="P156" s="23" t="s">
        <v>940</v>
      </c>
      <c r="Q156" s="24" t="n">
        <v>30</v>
      </c>
    </row>
    <row r="157" customFormat="false" ht="35.05" hidden="false" customHeight="false" outlineLevel="0" collapsed="false">
      <c r="A157" s="17" t="s">
        <v>1727</v>
      </c>
      <c r="B157" s="16" t="s">
        <v>872</v>
      </c>
      <c r="C157" s="19" t="s">
        <v>873</v>
      </c>
      <c r="D157" s="19" t="str">
        <f aca="false">IFERROR(INDEX(Equipements!$B$6:$B$200,MATCH($B157,Equipements!$A$6:$A$200,0)),"?")</f>
        <v>Vehicules</v>
      </c>
      <c r="E157" s="18" t="s">
        <v>1728</v>
      </c>
      <c r="F157" s="16" t="s">
        <v>202</v>
      </c>
      <c r="G157" s="16" t="n">
        <v>24</v>
      </c>
      <c r="H157" s="19" t="s">
        <v>1729</v>
      </c>
      <c r="I157" s="19" t="s">
        <v>1369</v>
      </c>
      <c r="J157" s="16" t="n">
        <v>60</v>
      </c>
      <c r="K157" s="19" t="s">
        <v>1730</v>
      </c>
      <c r="L157" s="19" t="s">
        <v>1731</v>
      </c>
      <c r="M157" s="19" t="s">
        <v>879</v>
      </c>
      <c r="N157" s="17" t="s">
        <v>97</v>
      </c>
      <c r="O157" s="16" t="s">
        <v>56</v>
      </c>
      <c r="P157" s="17" t="s">
        <v>924</v>
      </c>
      <c r="Q157" s="16" t="n">
        <v>0</v>
      </c>
    </row>
    <row r="158" customFormat="false" ht="35.05" hidden="false" customHeight="false" outlineLevel="0" collapsed="false">
      <c r="A158" s="17" t="s">
        <v>1732</v>
      </c>
      <c r="B158" s="16" t="s">
        <v>883</v>
      </c>
      <c r="C158" s="19" t="s">
        <v>884</v>
      </c>
      <c r="D158" s="19" t="str">
        <f aca="false">IFERROR(INDEX(Equipements!$B$6:$B$200,MATCH($B158,Equipements!$A$6:$A$200,0)),"?")</f>
        <v>Vehicules</v>
      </c>
      <c r="E158" s="18" t="s">
        <v>1733</v>
      </c>
      <c r="F158" s="16" t="s">
        <v>202</v>
      </c>
      <c r="G158" s="16" t="n">
        <v>36</v>
      </c>
      <c r="H158" s="19" t="s">
        <v>1734</v>
      </c>
      <c r="I158" s="19" t="s">
        <v>1369</v>
      </c>
      <c r="J158" s="16" t="n">
        <v>45</v>
      </c>
      <c r="K158" s="19" t="s">
        <v>1735</v>
      </c>
      <c r="L158" s="19" t="s">
        <v>1736</v>
      </c>
      <c r="M158" s="19" t="s">
        <v>889</v>
      </c>
      <c r="N158" s="17" t="s">
        <v>97</v>
      </c>
      <c r="O158" s="16" t="s">
        <v>56</v>
      </c>
      <c r="P158" s="17" t="s">
        <v>924</v>
      </c>
      <c r="Q158" s="16" t="n">
        <v>0</v>
      </c>
    </row>
    <row r="159" customFormat="false" ht="35.05" hidden="false" customHeight="false" outlineLevel="0" collapsed="false">
      <c r="A159" s="13" t="s">
        <v>1737</v>
      </c>
      <c r="B159" s="27" t="s">
        <v>891</v>
      </c>
      <c r="C159" s="28" t="s">
        <v>892</v>
      </c>
      <c r="D159" s="28" t="str">
        <f aca="false">IFERROR(INDEX(Equipements!$B$6:$B$200,MATCH($B159,Equipements!$A$6:$A$200,0)),"?")</f>
        <v>Vehicules</v>
      </c>
      <c r="E159" s="12" t="s">
        <v>1738</v>
      </c>
      <c r="F159" s="27" t="s">
        <v>202</v>
      </c>
      <c r="G159" s="27" t="n">
        <v>12</v>
      </c>
      <c r="H159" s="28" t="s">
        <v>1027</v>
      </c>
      <c r="I159" s="28" t="s">
        <v>1040</v>
      </c>
      <c r="J159" s="27" t="n">
        <v>60</v>
      </c>
      <c r="K159" s="28" t="s">
        <v>1739</v>
      </c>
      <c r="L159" s="28" t="s">
        <v>1740</v>
      </c>
      <c r="M159" s="28" t="s">
        <v>1741</v>
      </c>
      <c r="N159" s="27" t="s">
        <v>192</v>
      </c>
      <c r="O159" s="27" t="s">
        <v>56</v>
      </c>
      <c r="P159" s="13" t="s">
        <v>933</v>
      </c>
      <c r="Q159" s="27" t="n">
        <v>0</v>
      </c>
    </row>
  </sheetData>
  <autoFilter ref="A5:Q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7"/>
    <col collapsed="false" customWidth="true" hidden="false" outlineLevel="0" max="4" min="4" style="0" width="40"/>
    <col collapsed="false" customWidth="true" hidden="false" outlineLevel="0" max="5" min="5" style="0" width="16"/>
    <col collapsed="false" customWidth="true" hidden="false" outlineLevel="0" max="6" min="6" style="0" width="40"/>
    <col collapsed="false" customWidth="true" hidden="false" outlineLevel="0" max="7" min="7" style="0" width="20"/>
    <col collapsed="false" customWidth="true" hidden="false" outlineLevel="0" max="9" min="8" style="0" width="56"/>
    <col collapsed="false" customWidth="true" hidden="false" outlineLevel="0" max="10" min="10" style="0" width="18"/>
    <col collapsed="false" customWidth="true" hidden="false" outlineLevel="0" max="11" min="11" style="0" width="40"/>
    <col collapsed="false" customWidth="true" hidden="false" outlineLevel="0" max="13" min="12" style="0" width="30"/>
  </cols>
  <sheetData>
    <row r="2" customFormat="false" ht="19.7" hidden="false" customHeight="false" outlineLevel="0" collapsed="false">
      <c r="A2" s="1" t="s">
        <v>1742</v>
      </c>
    </row>
    <row r="3" customFormat="false" ht="15" hidden="false" customHeight="false" outlineLevel="0" collapsed="false">
      <c r="A3" s="2" t="s">
        <v>1743</v>
      </c>
    </row>
    <row r="5" customFormat="false" ht="31.5" hidden="false" customHeight="true" outlineLevel="0" collapsed="false">
      <c r="A5" s="9" t="s">
        <v>79</v>
      </c>
      <c r="B5" s="9" t="s">
        <v>1744</v>
      </c>
      <c r="C5" s="9" t="s">
        <v>1745</v>
      </c>
      <c r="D5" s="9" t="s">
        <v>1746</v>
      </c>
      <c r="E5" s="9" t="s">
        <v>1747</v>
      </c>
      <c r="F5" s="9" t="s">
        <v>1748</v>
      </c>
      <c r="G5" s="9" t="s">
        <v>1749</v>
      </c>
      <c r="H5" s="9" t="s">
        <v>1750</v>
      </c>
      <c r="I5" s="9" t="s">
        <v>1751</v>
      </c>
      <c r="J5" s="9" t="s">
        <v>1752</v>
      </c>
      <c r="K5" s="9" t="s">
        <v>1753</v>
      </c>
      <c r="L5" s="9" t="s">
        <v>1754</v>
      </c>
      <c r="M5" s="9" t="s">
        <v>1755</v>
      </c>
    </row>
    <row r="6" customFormat="false" ht="15" hidden="false" customHeight="false" outlineLevel="0" collapsed="false">
      <c r="A6" s="29" t="s">
        <v>1756</v>
      </c>
      <c r="B6" s="29" t="s">
        <v>1757</v>
      </c>
      <c r="C6" s="29" t="n">
        <v>1</v>
      </c>
      <c r="D6" s="30" t="s">
        <v>1758</v>
      </c>
      <c r="E6" s="29" t="s">
        <v>1759</v>
      </c>
      <c r="F6" s="30" t="s">
        <v>1760</v>
      </c>
      <c r="G6" s="21" t="s">
        <v>154</v>
      </c>
      <c r="H6" s="21" t="s">
        <v>154</v>
      </c>
      <c r="I6" s="21" t="s">
        <v>1761</v>
      </c>
      <c r="J6" s="21" t="s">
        <v>154</v>
      </c>
      <c r="K6" s="21" t="s">
        <v>154</v>
      </c>
      <c r="L6" s="21" t="s">
        <v>1762</v>
      </c>
      <c r="M6" s="21" t="s">
        <v>154</v>
      </c>
    </row>
    <row r="7" customFormat="false" ht="15" hidden="false" customHeight="false" outlineLevel="0" collapsed="false">
      <c r="A7" s="29" t="s">
        <v>1756</v>
      </c>
      <c r="B7" s="29" t="s">
        <v>1757</v>
      </c>
      <c r="C7" s="29" t="n">
        <v>1</v>
      </c>
      <c r="D7" s="30" t="s">
        <v>1758</v>
      </c>
      <c r="E7" s="29" t="s">
        <v>1759</v>
      </c>
      <c r="F7" s="30" t="s">
        <v>1763</v>
      </c>
      <c r="G7" s="21" t="s">
        <v>154</v>
      </c>
      <c r="H7" s="21" t="s">
        <v>154</v>
      </c>
      <c r="I7" s="21" t="s">
        <v>1764</v>
      </c>
      <c r="J7" s="21" t="s">
        <v>154</v>
      </c>
      <c r="K7" s="21" t="s">
        <v>154</v>
      </c>
      <c r="L7" s="21" t="s">
        <v>1765</v>
      </c>
      <c r="M7" s="21" t="s">
        <v>154</v>
      </c>
    </row>
    <row r="8" customFormat="false" ht="35.05" hidden="false" customHeight="false" outlineLevel="0" collapsed="false">
      <c r="A8" s="29" t="s">
        <v>1756</v>
      </c>
      <c r="B8" s="29" t="s">
        <v>1757</v>
      </c>
      <c r="C8" s="29" t="n">
        <v>1</v>
      </c>
      <c r="D8" s="30" t="s">
        <v>1758</v>
      </c>
      <c r="E8" s="29" t="s">
        <v>1759</v>
      </c>
      <c r="F8" s="30" t="s">
        <v>1766</v>
      </c>
      <c r="G8" s="21" t="s">
        <v>154</v>
      </c>
      <c r="H8" s="21" t="s">
        <v>154</v>
      </c>
      <c r="I8" s="21" t="s">
        <v>1767</v>
      </c>
      <c r="J8" s="21" t="s">
        <v>154</v>
      </c>
      <c r="K8" s="21" t="s">
        <v>154</v>
      </c>
      <c r="L8" s="21" t="s">
        <v>1768</v>
      </c>
      <c r="M8" s="21" t="s">
        <v>154</v>
      </c>
    </row>
    <row r="9" customFormat="false" ht="15" hidden="false" customHeight="false" outlineLevel="0" collapsed="false">
      <c r="A9" s="29" t="s">
        <v>1756</v>
      </c>
      <c r="B9" s="29" t="s">
        <v>1757</v>
      </c>
      <c r="C9" s="29" t="n">
        <v>1</v>
      </c>
      <c r="D9" s="30" t="s">
        <v>1758</v>
      </c>
      <c r="E9" s="29" t="s">
        <v>1759</v>
      </c>
      <c r="F9" s="30" t="s">
        <v>1769</v>
      </c>
      <c r="G9" s="21" t="s">
        <v>154</v>
      </c>
      <c r="H9" s="21" t="s">
        <v>154</v>
      </c>
      <c r="I9" s="21" t="s">
        <v>1770</v>
      </c>
      <c r="J9" s="21" t="s">
        <v>154</v>
      </c>
      <c r="K9" s="21" t="s">
        <v>154</v>
      </c>
      <c r="L9" s="21" t="s">
        <v>1771</v>
      </c>
      <c r="M9" s="21" t="s">
        <v>154</v>
      </c>
    </row>
    <row r="10" customFormat="false" ht="23.85" hidden="false" customHeight="false" outlineLevel="0" collapsed="false">
      <c r="A10" s="16" t="s">
        <v>1772</v>
      </c>
      <c r="B10" s="16" t="s">
        <v>1773</v>
      </c>
      <c r="C10" s="16" t="n">
        <v>2</v>
      </c>
      <c r="D10" s="18" t="s">
        <v>1774</v>
      </c>
      <c r="E10" s="16" t="s">
        <v>1759</v>
      </c>
      <c r="F10" s="18" t="s">
        <v>1775</v>
      </c>
      <c r="G10" s="19" t="s">
        <v>93</v>
      </c>
      <c r="H10" s="19" t="s">
        <v>1776</v>
      </c>
      <c r="I10" s="19" t="s">
        <v>154</v>
      </c>
      <c r="J10" s="19" t="s">
        <v>156</v>
      </c>
      <c r="K10" s="19" t="s">
        <v>154</v>
      </c>
      <c r="L10" s="19" t="s">
        <v>154</v>
      </c>
      <c r="M10" s="19" t="s">
        <v>154</v>
      </c>
    </row>
    <row r="11" customFormat="false" ht="23.85" hidden="false" customHeight="false" outlineLevel="0" collapsed="false">
      <c r="A11" s="16" t="s">
        <v>1772</v>
      </c>
      <c r="B11" s="16" t="s">
        <v>1773</v>
      </c>
      <c r="C11" s="16" t="n">
        <v>2</v>
      </c>
      <c r="D11" s="18" t="s">
        <v>1774</v>
      </c>
      <c r="E11" s="16" t="s">
        <v>1759</v>
      </c>
      <c r="F11" s="18" t="s">
        <v>1777</v>
      </c>
      <c r="G11" s="19" t="s">
        <v>1778</v>
      </c>
      <c r="H11" s="19" t="s">
        <v>1776</v>
      </c>
      <c r="I11" s="19" t="s">
        <v>154</v>
      </c>
      <c r="J11" s="19" t="s">
        <v>156</v>
      </c>
      <c r="K11" s="19" t="s">
        <v>154</v>
      </c>
      <c r="L11" s="19" t="s">
        <v>154</v>
      </c>
      <c r="M11" s="19" t="s">
        <v>154</v>
      </c>
    </row>
    <row r="12" customFormat="false" ht="23.85" hidden="false" customHeight="false" outlineLevel="0" collapsed="false">
      <c r="A12" s="16" t="s">
        <v>1772</v>
      </c>
      <c r="B12" s="16" t="s">
        <v>1773</v>
      </c>
      <c r="C12" s="16" t="n">
        <v>2</v>
      </c>
      <c r="D12" s="18" t="s">
        <v>1774</v>
      </c>
      <c r="E12" s="16" t="s">
        <v>1759</v>
      </c>
      <c r="F12" s="18" t="s">
        <v>1779</v>
      </c>
      <c r="G12" s="19" t="s">
        <v>1780</v>
      </c>
      <c r="H12" s="19" t="s">
        <v>154</v>
      </c>
      <c r="I12" s="19" t="s">
        <v>1781</v>
      </c>
      <c r="J12" s="19" t="s">
        <v>154</v>
      </c>
      <c r="K12" s="19" t="s">
        <v>154</v>
      </c>
      <c r="L12" s="19" t="s">
        <v>154</v>
      </c>
      <c r="M12" s="19" t="s">
        <v>154</v>
      </c>
    </row>
    <row r="13" customFormat="false" ht="23.85" hidden="false" customHeight="false" outlineLevel="0" collapsed="false">
      <c r="A13" s="16" t="s">
        <v>1772</v>
      </c>
      <c r="B13" s="16" t="s">
        <v>1773</v>
      </c>
      <c r="C13" s="16" t="n">
        <v>2</v>
      </c>
      <c r="D13" s="18" t="s">
        <v>1774</v>
      </c>
      <c r="E13" s="16" t="s">
        <v>1759</v>
      </c>
      <c r="F13" s="18" t="s">
        <v>1782</v>
      </c>
      <c r="G13" s="19" t="s">
        <v>1783</v>
      </c>
      <c r="H13" s="19" t="s">
        <v>154</v>
      </c>
      <c r="I13" s="19" t="s">
        <v>1784</v>
      </c>
      <c r="J13" s="19" t="s">
        <v>154</v>
      </c>
      <c r="K13" s="19" t="s">
        <v>154</v>
      </c>
      <c r="L13" s="19" t="s">
        <v>154</v>
      </c>
      <c r="M13" s="19" t="s">
        <v>154</v>
      </c>
    </row>
    <row r="14" customFormat="false" ht="23.85" hidden="false" customHeight="false" outlineLevel="0" collapsed="false">
      <c r="A14" s="16" t="s">
        <v>1772</v>
      </c>
      <c r="B14" s="16" t="s">
        <v>1773</v>
      </c>
      <c r="C14" s="16" t="n">
        <v>2</v>
      </c>
      <c r="D14" s="18" t="s">
        <v>1774</v>
      </c>
      <c r="E14" s="16" t="s">
        <v>1759</v>
      </c>
      <c r="F14" s="18" t="s">
        <v>1785</v>
      </c>
      <c r="G14" s="19" t="s">
        <v>1786</v>
      </c>
      <c r="H14" s="19" t="s">
        <v>154</v>
      </c>
      <c r="I14" s="19" t="s">
        <v>1784</v>
      </c>
      <c r="J14" s="19" t="s">
        <v>154</v>
      </c>
      <c r="K14" s="19" t="s">
        <v>154</v>
      </c>
      <c r="L14" s="19" t="s">
        <v>154</v>
      </c>
      <c r="M14" s="19" t="s">
        <v>154</v>
      </c>
    </row>
    <row r="15" customFormat="false" ht="23.85" hidden="false" customHeight="false" outlineLevel="0" collapsed="false">
      <c r="A15" s="16" t="s">
        <v>1772</v>
      </c>
      <c r="B15" s="16" t="s">
        <v>1773</v>
      </c>
      <c r="C15" s="16" t="n">
        <v>2</v>
      </c>
      <c r="D15" s="18" t="s">
        <v>1774</v>
      </c>
      <c r="E15" s="16" t="s">
        <v>1759</v>
      </c>
      <c r="F15" s="18" t="s">
        <v>1787</v>
      </c>
      <c r="G15" s="19" t="s">
        <v>1788</v>
      </c>
      <c r="H15" s="19" t="s">
        <v>154</v>
      </c>
      <c r="I15" s="19" t="s">
        <v>1784</v>
      </c>
      <c r="J15" s="19" t="s">
        <v>154</v>
      </c>
      <c r="K15" s="19" t="s">
        <v>154</v>
      </c>
      <c r="L15" s="19" t="s">
        <v>154</v>
      </c>
      <c r="M15" s="19" t="s">
        <v>154</v>
      </c>
    </row>
    <row r="16" customFormat="false" ht="23.85" hidden="false" customHeight="false" outlineLevel="0" collapsed="false">
      <c r="A16" s="16" t="s">
        <v>1772</v>
      </c>
      <c r="B16" s="16" t="s">
        <v>1773</v>
      </c>
      <c r="C16" s="16" t="n">
        <v>2</v>
      </c>
      <c r="D16" s="18" t="s">
        <v>1774</v>
      </c>
      <c r="E16" s="16" t="s">
        <v>1759</v>
      </c>
      <c r="F16" s="18" t="s">
        <v>1789</v>
      </c>
      <c r="G16" s="19" t="s">
        <v>167</v>
      </c>
      <c r="H16" s="19" t="s">
        <v>154</v>
      </c>
      <c r="I16" s="19" t="s">
        <v>1790</v>
      </c>
      <c r="J16" s="19" t="s">
        <v>154</v>
      </c>
      <c r="K16" s="19" t="s">
        <v>154</v>
      </c>
      <c r="L16" s="19" t="s">
        <v>154</v>
      </c>
      <c r="M16" s="19" t="s">
        <v>154</v>
      </c>
    </row>
    <row r="17" customFormat="false" ht="23.85" hidden="false" customHeight="false" outlineLevel="0" collapsed="false">
      <c r="A17" s="16" t="s">
        <v>1772</v>
      </c>
      <c r="B17" s="16" t="s">
        <v>1773</v>
      </c>
      <c r="C17" s="16" t="n">
        <v>2</v>
      </c>
      <c r="D17" s="18" t="s">
        <v>1774</v>
      </c>
      <c r="E17" s="16" t="s">
        <v>1759</v>
      </c>
      <c r="F17" s="18" t="s">
        <v>1791</v>
      </c>
      <c r="G17" s="19" t="s">
        <v>176</v>
      </c>
      <c r="H17" s="19" t="s">
        <v>154</v>
      </c>
      <c r="I17" s="19" t="s">
        <v>1792</v>
      </c>
      <c r="J17" s="19" t="s">
        <v>154</v>
      </c>
      <c r="K17" s="19" t="s">
        <v>154</v>
      </c>
      <c r="L17" s="19" t="s">
        <v>154</v>
      </c>
      <c r="M17" s="19" t="s">
        <v>154</v>
      </c>
    </row>
    <row r="18" customFormat="false" ht="23.85" hidden="false" customHeight="false" outlineLevel="0" collapsed="false">
      <c r="A18" s="16" t="s">
        <v>1772</v>
      </c>
      <c r="B18" s="16" t="s">
        <v>1773</v>
      </c>
      <c r="C18" s="16" t="n">
        <v>2</v>
      </c>
      <c r="D18" s="18" t="s">
        <v>1774</v>
      </c>
      <c r="E18" s="16" t="s">
        <v>1759</v>
      </c>
      <c r="F18" s="18" t="s">
        <v>1793</v>
      </c>
      <c r="G18" s="19" t="s">
        <v>183</v>
      </c>
      <c r="H18" s="19" t="s">
        <v>154</v>
      </c>
      <c r="I18" s="19" t="s">
        <v>154</v>
      </c>
      <c r="J18" s="19" t="s">
        <v>154</v>
      </c>
      <c r="K18" s="19" t="s">
        <v>154</v>
      </c>
      <c r="L18" s="19" t="s">
        <v>154</v>
      </c>
      <c r="M18" s="19" t="s">
        <v>154</v>
      </c>
    </row>
    <row r="19" customFormat="false" ht="23.85" hidden="false" customHeight="false" outlineLevel="0" collapsed="false">
      <c r="A19" s="16" t="s">
        <v>1772</v>
      </c>
      <c r="B19" s="16" t="s">
        <v>1773</v>
      </c>
      <c r="C19" s="16" t="n">
        <v>2</v>
      </c>
      <c r="D19" s="18" t="s">
        <v>1774</v>
      </c>
      <c r="E19" s="16" t="s">
        <v>1759</v>
      </c>
      <c r="F19" s="18" t="s">
        <v>1794</v>
      </c>
      <c r="G19" s="19" t="s">
        <v>216</v>
      </c>
      <c r="H19" s="19" t="s">
        <v>154</v>
      </c>
      <c r="I19" s="19" t="s">
        <v>1795</v>
      </c>
      <c r="J19" s="19" t="s">
        <v>154</v>
      </c>
      <c r="K19" s="19" t="s">
        <v>154</v>
      </c>
      <c r="L19" s="19" t="s">
        <v>154</v>
      </c>
      <c r="M19" s="19" t="s">
        <v>154</v>
      </c>
    </row>
    <row r="20" customFormat="false" ht="35.05" hidden="false" customHeight="false" outlineLevel="0" collapsed="false">
      <c r="A20" s="16" t="s">
        <v>1772</v>
      </c>
      <c r="B20" s="16" t="s">
        <v>1773</v>
      </c>
      <c r="C20" s="16" t="n">
        <v>2</v>
      </c>
      <c r="D20" s="18" t="s">
        <v>1774</v>
      </c>
      <c r="E20" s="16" t="s">
        <v>1759</v>
      </c>
      <c r="F20" s="18" t="s">
        <v>1796</v>
      </c>
      <c r="G20" s="19" t="s">
        <v>154</v>
      </c>
      <c r="H20" s="19" t="s">
        <v>154</v>
      </c>
      <c r="I20" s="19" t="s">
        <v>1797</v>
      </c>
      <c r="J20" s="19" t="s">
        <v>154</v>
      </c>
      <c r="K20" s="19" t="s">
        <v>154</v>
      </c>
      <c r="L20" s="19" t="s">
        <v>154</v>
      </c>
      <c r="M20" s="19" t="s">
        <v>154</v>
      </c>
    </row>
    <row r="21" customFormat="false" ht="23.85" hidden="false" customHeight="false" outlineLevel="0" collapsed="false">
      <c r="A21" s="16" t="s">
        <v>1798</v>
      </c>
      <c r="B21" s="16" t="s">
        <v>1773</v>
      </c>
      <c r="C21" s="16" t="n">
        <v>3</v>
      </c>
      <c r="D21" s="18" t="s">
        <v>1799</v>
      </c>
      <c r="E21" s="16" t="s">
        <v>1800</v>
      </c>
      <c r="F21" s="18" t="s">
        <v>146</v>
      </c>
      <c r="G21" s="19" t="s">
        <v>145</v>
      </c>
      <c r="H21" s="19" t="s">
        <v>154</v>
      </c>
      <c r="I21" s="19" t="s">
        <v>1801</v>
      </c>
      <c r="J21" s="19" t="s">
        <v>154</v>
      </c>
      <c r="K21" s="19" t="s">
        <v>1802</v>
      </c>
      <c r="L21" s="19" t="s">
        <v>154</v>
      </c>
      <c r="M21" s="19" t="s">
        <v>154</v>
      </c>
    </row>
    <row r="22" customFormat="false" ht="23.85" hidden="false" customHeight="false" outlineLevel="0" collapsed="false">
      <c r="A22" s="16" t="s">
        <v>1798</v>
      </c>
      <c r="B22" s="16" t="s">
        <v>1773</v>
      </c>
      <c r="C22" s="16" t="n">
        <v>3</v>
      </c>
      <c r="D22" s="18" t="s">
        <v>1799</v>
      </c>
      <c r="E22" s="16" t="s">
        <v>1800</v>
      </c>
      <c r="F22" s="18" t="s">
        <v>1803</v>
      </c>
      <c r="G22" s="19" t="s">
        <v>1786</v>
      </c>
      <c r="H22" s="19" t="s">
        <v>154</v>
      </c>
      <c r="I22" s="19" t="s">
        <v>154</v>
      </c>
      <c r="J22" s="19" t="s">
        <v>154</v>
      </c>
      <c r="K22" s="19" t="s">
        <v>1802</v>
      </c>
      <c r="L22" s="19" t="s">
        <v>154</v>
      </c>
      <c r="M22" s="19" t="s">
        <v>154</v>
      </c>
    </row>
    <row r="23" customFormat="false" ht="23.85" hidden="false" customHeight="false" outlineLevel="0" collapsed="false">
      <c r="A23" s="16" t="s">
        <v>1798</v>
      </c>
      <c r="B23" s="16" t="s">
        <v>1773</v>
      </c>
      <c r="C23" s="16" t="n">
        <v>3</v>
      </c>
      <c r="D23" s="18" t="s">
        <v>1799</v>
      </c>
      <c r="E23" s="16" t="s">
        <v>1800</v>
      </c>
      <c r="F23" s="18" t="s">
        <v>1787</v>
      </c>
      <c r="G23" s="19" t="s">
        <v>1788</v>
      </c>
      <c r="H23" s="19" t="s">
        <v>154</v>
      </c>
      <c r="I23" s="19" t="s">
        <v>154</v>
      </c>
      <c r="J23" s="19" t="s">
        <v>154</v>
      </c>
      <c r="K23" s="19" t="s">
        <v>1802</v>
      </c>
      <c r="L23" s="19" t="s">
        <v>154</v>
      </c>
      <c r="M23" s="19" t="s">
        <v>154</v>
      </c>
    </row>
    <row r="24" customFormat="false" ht="23.85" hidden="false" customHeight="false" outlineLevel="0" collapsed="false">
      <c r="A24" s="16" t="s">
        <v>1798</v>
      </c>
      <c r="B24" s="16" t="s">
        <v>1773</v>
      </c>
      <c r="C24" s="16" t="n">
        <v>3</v>
      </c>
      <c r="D24" s="18" t="s">
        <v>1799</v>
      </c>
      <c r="E24" s="16" t="s">
        <v>1800</v>
      </c>
      <c r="F24" s="18" t="s">
        <v>192</v>
      </c>
      <c r="G24" s="19" t="s">
        <v>154</v>
      </c>
      <c r="H24" s="19" t="s">
        <v>154</v>
      </c>
      <c r="I24" s="19" t="s">
        <v>154</v>
      </c>
      <c r="J24" s="19" t="s">
        <v>154</v>
      </c>
      <c r="K24" s="19" t="s">
        <v>1802</v>
      </c>
      <c r="L24" s="19" t="s">
        <v>154</v>
      </c>
      <c r="M24" s="19" t="s">
        <v>154</v>
      </c>
    </row>
    <row r="25" customFormat="false" ht="23.85" hidden="false" customHeight="false" outlineLevel="0" collapsed="false">
      <c r="A25" s="16" t="s">
        <v>1798</v>
      </c>
      <c r="B25" s="16" t="s">
        <v>1773</v>
      </c>
      <c r="C25" s="16" t="n">
        <v>3</v>
      </c>
      <c r="D25" s="18" t="s">
        <v>1799</v>
      </c>
      <c r="E25" s="16" t="s">
        <v>1800</v>
      </c>
      <c r="F25" s="18" t="s">
        <v>1796</v>
      </c>
      <c r="G25" s="19" t="s">
        <v>154</v>
      </c>
      <c r="H25" s="19" t="s">
        <v>154</v>
      </c>
      <c r="I25" s="19" t="s">
        <v>154</v>
      </c>
      <c r="J25" s="19" t="s">
        <v>154</v>
      </c>
      <c r="K25" s="19" t="s">
        <v>1802</v>
      </c>
      <c r="L25" s="19" t="s">
        <v>154</v>
      </c>
      <c r="M25" s="19" t="s">
        <v>154</v>
      </c>
    </row>
    <row r="26" customFormat="false" ht="23.85" hidden="false" customHeight="false" outlineLevel="0" collapsed="false">
      <c r="A26" s="16" t="s">
        <v>1804</v>
      </c>
      <c r="B26" s="16" t="s">
        <v>1773</v>
      </c>
      <c r="C26" s="16" t="n">
        <v>4</v>
      </c>
      <c r="D26" s="18" t="s">
        <v>1805</v>
      </c>
      <c r="E26" s="16" t="s">
        <v>1759</v>
      </c>
      <c r="F26" s="18" t="s">
        <v>1806</v>
      </c>
      <c r="G26" s="19" t="s">
        <v>154</v>
      </c>
      <c r="H26" s="19" t="s">
        <v>154</v>
      </c>
      <c r="I26" s="19" t="s">
        <v>1807</v>
      </c>
      <c r="J26" s="19" t="s">
        <v>154</v>
      </c>
      <c r="K26" s="19" t="s">
        <v>154</v>
      </c>
      <c r="L26" s="19" t="s">
        <v>154</v>
      </c>
      <c r="M26" s="19" t="s">
        <v>154</v>
      </c>
    </row>
    <row r="27" customFormat="false" ht="15" hidden="false" customHeight="false" outlineLevel="0" collapsed="false">
      <c r="A27" s="16" t="s">
        <v>1804</v>
      </c>
      <c r="B27" s="16" t="s">
        <v>1773</v>
      </c>
      <c r="C27" s="16" t="n">
        <v>4</v>
      </c>
      <c r="D27" s="18" t="s">
        <v>1805</v>
      </c>
      <c r="E27" s="16" t="s">
        <v>1759</v>
      </c>
      <c r="F27" s="18" t="s">
        <v>1808</v>
      </c>
      <c r="G27" s="19" t="s">
        <v>253</v>
      </c>
      <c r="H27" s="19" t="s">
        <v>154</v>
      </c>
      <c r="I27" s="19" t="s">
        <v>1795</v>
      </c>
      <c r="J27" s="19" t="s">
        <v>154</v>
      </c>
      <c r="K27" s="19" t="s">
        <v>154</v>
      </c>
      <c r="L27" s="19" t="s">
        <v>154</v>
      </c>
      <c r="M27" s="19" t="s">
        <v>154</v>
      </c>
    </row>
    <row r="28" customFormat="false" ht="15" hidden="false" customHeight="false" outlineLevel="0" collapsed="false">
      <c r="A28" s="16" t="s">
        <v>1804</v>
      </c>
      <c r="B28" s="16" t="s">
        <v>1773</v>
      </c>
      <c r="C28" s="16" t="n">
        <v>4</v>
      </c>
      <c r="D28" s="18" t="s">
        <v>1805</v>
      </c>
      <c r="E28" s="16" t="s">
        <v>1759</v>
      </c>
      <c r="F28" s="18" t="s">
        <v>262</v>
      </c>
      <c r="G28" s="19" t="s">
        <v>261</v>
      </c>
      <c r="H28" s="19" t="s">
        <v>154</v>
      </c>
      <c r="I28" s="19" t="s">
        <v>1809</v>
      </c>
      <c r="J28" s="19" t="s">
        <v>154</v>
      </c>
      <c r="K28" s="19" t="s">
        <v>154</v>
      </c>
      <c r="L28" s="19" t="s">
        <v>154</v>
      </c>
      <c r="M28" s="19" t="s">
        <v>154</v>
      </c>
    </row>
    <row r="29" customFormat="false" ht="15" hidden="false" customHeight="false" outlineLevel="0" collapsed="false">
      <c r="A29" s="16" t="s">
        <v>1804</v>
      </c>
      <c r="B29" s="16" t="s">
        <v>1773</v>
      </c>
      <c r="C29" s="16" t="n">
        <v>4</v>
      </c>
      <c r="D29" s="18" t="s">
        <v>1805</v>
      </c>
      <c r="E29" s="16" t="s">
        <v>1759</v>
      </c>
      <c r="F29" s="18" t="s">
        <v>1810</v>
      </c>
      <c r="G29" s="19" t="s">
        <v>265</v>
      </c>
      <c r="H29" s="19" t="s">
        <v>154</v>
      </c>
      <c r="I29" s="19" t="s">
        <v>154</v>
      </c>
      <c r="J29" s="19" t="s">
        <v>154</v>
      </c>
      <c r="K29" s="19" t="s">
        <v>154</v>
      </c>
      <c r="L29" s="19" t="s">
        <v>154</v>
      </c>
      <c r="M29" s="19" t="s">
        <v>154</v>
      </c>
    </row>
    <row r="30" customFormat="false" ht="15" hidden="false" customHeight="false" outlineLevel="0" collapsed="false">
      <c r="A30" s="16" t="s">
        <v>1804</v>
      </c>
      <c r="B30" s="16" t="s">
        <v>1773</v>
      </c>
      <c r="C30" s="16" t="n">
        <v>4</v>
      </c>
      <c r="D30" s="18" t="s">
        <v>1805</v>
      </c>
      <c r="E30" s="16" t="s">
        <v>1759</v>
      </c>
      <c r="F30" s="18" t="s">
        <v>1811</v>
      </c>
      <c r="G30" s="19" t="s">
        <v>272</v>
      </c>
      <c r="H30" s="19" t="s">
        <v>154</v>
      </c>
      <c r="I30" s="19" t="s">
        <v>154</v>
      </c>
      <c r="J30" s="19" t="s">
        <v>154</v>
      </c>
      <c r="K30" s="19" t="s">
        <v>154</v>
      </c>
      <c r="L30" s="19" t="s">
        <v>154</v>
      </c>
      <c r="M30" s="19" t="s">
        <v>154</v>
      </c>
    </row>
    <row r="31" customFormat="false" ht="23.85" hidden="false" customHeight="false" outlineLevel="0" collapsed="false">
      <c r="A31" s="16" t="s">
        <v>1804</v>
      </c>
      <c r="B31" s="16" t="s">
        <v>1773</v>
      </c>
      <c r="C31" s="16" t="n">
        <v>4</v>
      </c>
      <c r="D31" s="18" t="s">
        <v>1805</v>
      </c>
      <c r="E31" s="16" t="s">
        <v>1759</v>
      </c>
      <c r="F31" s="18" t="s">
        <v>1796</v>
      </c>
      <c r="G31" s="19" t="s">
        <v>154</v>
      </c>
      <c r="H31" s="19" t="s">
        <v>154</v>
      </c>
      <c r="I31" s="19" t="s">
        <v>1812</v>
      </c>
      <c r="J31" s="19" t="s">
        <v>154</v>
      </c>
      <c r="K31" s="19" t="s">
        <v>154</v>
      </c>
      <c r="L31" s="19" t="s">
        <v>154</v>
      </c>
      <c r="M31" s="19" t="s">
        <v>154</v>
      </c>
    </row>
    <row r="32" customFormat="false" ht="23.85" hidden="false" customHeight="false" outlineLevel="0" collapsed="false">
      <c r="A32" s="16" t="s">
        <v>1813</v>
      </c>
      <c r="B32" s="16" t="s">
        <v>1773</v>
      </c>
      <c r="C32" s="16" t="n">
        <v>5</v>
      </c>
      <c r="D32" s="18" t="s">
        <v>1814</v>
      </c>
      <c r="E32" s="16" t="s">
        <v>1759</v>
      </c>
      <c r="F32" s="18" t="s">
        <v>1815</v>
      </c>
      <c r="G32" s="19" t="s">
        <v>295</v>
      </c>
      <c r="H32" s="19" t="s">
        <v>154</v>
      </c>
      <c r="I32" s="19" t="s">
        <v>1792</v>
      </c>
      <c r="J32" s="19" t="s">
        <v>154</v>
      </c>
      <c r="K32" s="19" t="s">
        <v>1816</v>
      </c>
      <c r="L32" s="19" t="s">
        <v>154</v>
      </c>
      <c r="M32" s="19" t="s">
        <v>154</v>
      </c>
    </row>
    <row r="33" customFormat="false" ht="23.85" hidden="false" customHeight="false" outlineLevel="0" collapsed="false">
      <c r="A33" s="16" t="s">
        <v>1813</v>
      </c>
      <c r="B33" s="16" t="s">
        <v>1773</v>
      </c>
      <c r="C33" s="16" t="n">
        <v>5</v>
      </c>
      <c r="D33" s="18" t="s">
        <v>1814</v>
      </c>
      <c r="E33" s="16" t="s">
        <v>1759</v>
      </c>
      <c r="F33" s="18" t="s">
        <v>1817</v>
      </c>
      <c r="G33" s="19" t="s">
        <v>300</v>
      </c>
      <c r="H33" s="19" t="s">
        <v>154</v>
      </c>
      <c r="I33" s="19" t="s">
        <v>1795</v>
      </c>
      <c r="J33" s="19" t="s">
        <v>154</v>
      </c>
      <c r="K33" s="19" t="s">
        <v>1816</v>
      </c>
      <c r="L33" s="19" t="s">
        <v>154</v>
      </c>
      <c r="M33" s="19" t="s">
        <v>154</v>
      </c>
    </row>
    <row r="34" customFormat="false" ht="23.85" hidden="false" customHeight="false" outlineLevel="0" collapsed="false">
      <c r="A34" s="16" t="s">
        <v>1813</v>
      </c>
      <c r="B34" s="16" t="s">
        <v>1773</v>
      </c>
      <c r="C34" s="16" t="n">
        <v>5</v>
      </c>
      <c r="D34" s="18" t="s">
        <v>1814</v>
      </c>
      <c r="E34" s="16" t="s">
        <v>1759</v>
      </c>
      <c r="F34" s="18" t="s">
        <v>192</v>
      </c>
      <c r="G34" s="19" t="s">
        <v>154</v>
      </c>
      <c r="H34" s="19" t="s">
        <v>154</v>
      </c>
      <c r="I34" s="19" t="s">
        <v>154</v>
      </c>
      <c r="J34" s="19" t="s">
        <v>154</v>
      </c>
      <c r="K34" s="19" t="s">
        <v>1816</v>
      </c>
      <c r="L34" s="19" t="s">
        <v>154</v>
      </c>
      <c r="M34" s="19" t="s">
        <v>154</v>
      </c>
    </row>
    <row r="35" customFormat="false" ht="23.85" hidden="false" customHeight="false" outlineLevel="0" collapsed="false">
      <c r="A35" s="16" t="s">
        <v>1813</v>
      </c>
      <c r="B35" s="16" t="s">
        <v>1773</v>
      </c>
      <c r="C35" s="16" t="n">
        <v>5</v>
      </c>
      <c r="D35" s="18" t="s">
        <v>1814</v>
      </c>
      <c r="E35" s="16" t="s">
        <v>1759</v>
      </c>
      <c r="F35" s="18" t="s">
        <v>1796</v>
      </c>
      <c r="G35" s="19" t="s">
        <v>154</v>
      </c>
      <c r="H35" s="19" t="s">
        <v>154</v>
      </c>
      <c r="I35" s="19" t="s">
        <v>154</v>
      </c>
      <c r="J35" s="19" t="s">
        <v>154</v>
      </c>
      <c r="K35" s="19" t="s">
        <v>1816</v>
      </c>
      <c r="L35" s="19" t="s">
        <v>154</v>
      </c>
      <c r="M35" s="19" t="s">
        <v>154</v>
      </c>
    </row>
    <row r="36" customFormat="false" ht="15" hidden="false" customHeight="false" outlineLevel="0" collapsed="false">
      <c r="A36" s="16" t="s">
        <v>1818</v>
      </c>
      <c r="B36" s="16" t="s">
        <v>1773</v>
      </c>
      <c r="C36" s="16" t="n">
        <v>6</v>
      </c>
      <c r="D36" s="18" t="s">
        <v>1819</v>
      </c>
      <c r="E36" s="16" t="s">
        <v>1759</v>
      </c>
      <c r="F36" s="18" t="s">
        <v>97</v>
      </c>
      <c r="G36" s="19" t="s">
        <v>1820</v>
      </c>
      <c r="H36" s="19" t="s">
        <v>154</v>
      </c>
      <c r="I36" s="19" t="s">
        <v>154</v>
      </c>
      <c r="J36" s="19" t="s">
        <v>154</v>
      </c>
      <c r="K36" s="19" t="s">
        <v>154</v>
      </c>
      <c r="L36" s="19" t="s">
        <v>154</v>
      </c>
      <c r="M36" s="19" t="s">
        <v>154</v>
      </c>
    </row>
    <row r="37" customFormat="false" ht="15" hidden="false" customHeight="false" outlineLevel="0" collapsed="false">
      <c r="A37" s="16" t="s">
        <v>1818</v>
      </c>
      <c r="B37" s="16" t="s">
        <v>1773</v>
      </c>
      <c r="C37" s="16" t="n">
        <v>6</v>
      </c>
      <c r="D37" s="18" t="s">
        <v>1819</v>
      </c>
      <c r="E37" s="16" t="s">
        <v>1759</v>
      </c>
      <c r="F37" s="18" t="s">
        <v>192</v>
      </c>
      <c r="G37" s="19" t="s">
        <v>154</v>
      </c>
      <c r="H37" s="19" t="s">
        <v>154</v>
      </c>
      <c r="I37" s="19" t="s">
        <v>154</v>
      </c>
      <c r="J37" s="19" t="s">
        <v>154</v>
      </c>
      <c r="K37" s="19" t="s">
        <v>154</v>
      </c>
      <c r="L37" s="19" t="s">
        <v>154</v>
      </c>
      <c r="M37" s="19" t="s">
        <v>154</v>
      </c>
    </row>
    <row r="38" customFormat="false" ht="15" hidden="false" customHeight="false" outlineLevel="0" collapsed="false">
      <c r="A38" s="16" t="s">
        <v>1818</v>
      </c>
      <c r="B38" s="16" t="s">
        <v>1773</v>
      </c>
      <c r="C38" s="16" t="n">
        <v>6</v>
      </c>
      <c r="D38" s="18" t="s">
        <v>1819</v>
      </c>
      <c r="E38" s="16" t="s">
        <v>1759</v>
      </c>
      <c r="F38" s="18" t="s">
        <v>1796</v>
      </c>
      <c r="G38" s="19" t="s">
        <v>154</v>
      </c>
      <c r="H38" s="19" t="s">
        <v>154</v>
      </c>
      <c r="I38" s="19" t="s">
        <v>1821</v>
      </c>
      <c r="J38" s="19" t="s">
        <v>154</v>
      </c>
      <c r="K38" s="19" t="s">
        <v>154</v>
      </c>
      <c r="L38" s="19" t="s">
        <v>154</v>
      </c>
      <c r="M38" s="19" t="s">
        <v>154</v>
      </c>
    </row>
    <row r="39" customFormat="false" ht="23.85" hidden="false" customHeight="false" outlineLevel="0" collapsed="false">
      <c r="A39" s="16" t="s">
        <v>1822</v>
      </c>
      <c r="B39" s="16" t="s">
        <v>1773</v>
      </c>
      <c r="C39" s="16" t="n">
        <v>7</v>
      </c>
      <c r="D39" s="18" t="s">
        <v>1823</v>
      </c>
      <c r="E39" s="16" t="s">
        <v>1759</v>
      </c>
      <c r="F39" s="18" t="s">
        <v>97</v>
      </c>
      <c r="G39" s="19" t="s">
        <v>154</v>
      </c>
      <c r="H39" s="19" t="s">
        <v>154</v>
      </c>
      <c r="I39" s="19" t="s">
        <v>154</v>
      </c>
      <c r="J39" s="19" t="s">
        <v>154</v>
      </c>
      <c r="K39" s="19" t="s">
        <v>154</v>
      </c>
      <c r="L39" s="19" t="s">
        <v>154</v>
      </c>
      <c r="M39" s="19" t="s">
        <v>154</v>
      </c>
    </row>
    <row r="40" customFormat="false" ht="23.85" hidden="false" customHeight="false" outlineLevel="0" collapsed="false">
      <c r="A40" s="16" t="s">
        <v>1822</v>
      </c>
      <c r="B40" s="16" t="s">
        <v>1773</v>
      </c>
      <c r="C40" s="16" t="n">
        <v>7</v>
      </c>
      <c r="D40" s="18" t="s">
        <v>1823</v>
      </c>
      <c r="E40" s="16" t="s">
        <v>1759</v>
      </c>
      <c r="F40" s="18" t="s">
        <v>1824</v>
      </c>
      <c r="G40" s="19" t="s">
        <v>550</v>
      </c>
      <c r="H40" s="19" t="s">
        <v>154</v>
      </c>
      <c r="I40" s="19" t="s">
        <v>154</v>
      </c>
      <c r="J40" s="19" t="s">
        <v>154</v>
      </c>
      <c r="K40" s="19" t="s">
        <v>154</v>
      </c>
      <c r="L40" s="19" t="s">
        <v>154</v>
      </c>
      <c r="M40" s="19" t="s">
        <v>154</v>
      </c>
    </row>
    <row r="41" customFormat="false" ht="23.85" hidden="false" customHeight="false" outlineLevel="0" collapsed="false">
      <c r="A41" s="16" t="s">
        <v>1822</v>
      </c>
      <c r="B41" s="16" t="s">
        <v>1773</v>
      </c>
      <c r="C41" s="16" t="n">
        <v>7</v>
      </c>
      <c r="D41" s="18" t="s">
        <v>1823</v>
      </c>
      <c r="E41" s="16" t="s">
        <v>1759</v>
      </c>
      <c r="F41" s="18" t="s">
        <v>1825</v>
      </c>
      <c r="G41" s="19" t="s">
        <v>561</v>
      </c>
      <c r="H41" s="19" t="s">
        <v>154</v>
      </c>
      <c r="I41" s="19" t="s">
        <v>154</v>
      </c>
      <c r="J41" s="19" t="s">
        <v>154</v>
      </c>
      <c r="K41" s="19" t="s">
        <v>154</v>
      </c>
      <c r="L41" s="19" t="s">
        <v>154</v>
      </c>
      <c r="M41" s="19" t="s">
        <v>154</v>
      </c>
    </row>
    <row r="42" customFormat="false" ht="23.85" hidden="false" customHeight="false" outlineLevel="0" collapsed="false">
      <c r="A42" s="16" t="s">
        <v>1822</v>
      </c>
      <c r="B42" s="16" t="s">
        <v>1773</v>
      </c>
      <c r="C42" s="16" t="n">
        <v>7</v>
      </c>
      <c r="D42" s="18" t="s">
        <v>1823</v>
      </c>
      <c r="E42" s="16" t="s">
        <v>1759</v>
      </c>
      <c r="F42" s="18" t="s">
        <v>1796</v>
      </c>
      <c r="G42" s="19" t="s">
        <v>154</v>
      </c>
      <c r="H42" s="19" t="s">
        <v>154</v>
      </c>
      <c r="I42" s="19" t="s">
        <v>1826</v>
      </c>
      <c r="J42" s="19" t="s">
        <v>154</v>
      </c>
      <c r="K42" s="19" t="s">
        <v>154</v>
      </c>
      <c r="L42" s="19" t="s">
        <v>154</v>
      </c>
      <c r="M42" s="19" t="s">
        <v>154</v>
      </c>
    </row>
    <row r="43" customFormat="false" ht="23.85" hidden="false" customHeight="false" outlineLevel="0" collapsed="false">
      <c r="A43" s="16" t="s">
        <v>1827</v>
      </c>
      <c r="B43" s="16" t="s">
        <v>1773</v>
      </c>
      <c r="C43" s="16" t="n">
        <v>8</v>
      </c>
      <c r="D43" s="18" t="s">
        <v>1828</v>
      </c>
      <c r="E43" s="16" t="s">
        <v>1759</v>
      </c>
      <c r="F43" s="18" t="s">
        <v>1829</v>
      </c>
      <c r="G43" s="19" t="s">
        <v>736</v>
      </c>
      <c r="H43" s="19" t="s">
        <v>154</v>
      </c>
      <c r="I43" s="19" t="s">
        <v>154</v>
      </c>
      <c r="J43" s="19" t="s">
        <v>154</v>
      </c>
      <c r="K43" s="19" t="s">
        <v>154</v>
      </c>
      <c r="L43" s="19" t="s">
        <v>154</v>
      </c>
      <c r="M43" s="19" t="s">
        <v>154</v>
      </c>
    </row>
    <row r="44" customFormat="false" ht="23.85" hidden="false" customHeight="false" outlineLevel="0" collapsed="false">
      <c r="A44" s="16" t="s">
        <v>1827</v>
      </c>
      <c r="B44" s="16" t="s">
        <v>1773</v>
      </c>
      <c r="C44" s="16" t="n">
        <v>8</v>
      </c>
      <c r="D44" s="18" t="s">
        <v>1828</v>
      </c>
      <c r="E44" s="16" t="s">
        <v>1759</v>
      </c>
      <c r="F44" s="18" t="s">
        <v>1830</v>
      </c>
      <c r="G44" s="19" t="s">
        <v>1831</v>
      </c>
      <c r="H44" s="19" t="s">
        <v>154</v>
      </c>
      <c r="I44" s="19" t="s">
        <v>154</v>
      </c>
      <c r="J44" s="19" t="s">
        <v>154</v>
      </c>
      <c r="K44" s="19" t="s">
        <v>154</v>
      </c>
      <c r="L44" s="19" t="s">
        <v>154</v>
      </c>
      <c r="M44" s="19" t="s">
        <v>154</v>
      </c>
    </row>
    <row r="45" customFormat="false" ht="23.85" hidden="false" customHeight="false" outlineLevel="0" collapsed="false">
      <c r="A45" s="16" t="s">
        <v>1827</v>
      </c>
      <c r="B45" s="16" t="s">
        <v>1773</v>
      </c>
      <c r="C45" s="16" t="n">
        <v>8</v>
      </c>
      <c r="D45" s="18" t="s">
        <v>1828</v>
      </c>
      <c r="E45" s="16" t="s">
        <v>1759</v>
      </c>
      <c r="F45" s="18" t="s">
        <v>1832</v>
      </c>
      <c r="G45" s="19" t="s">
        <v>736</v>
      </c>
      <c r="H45" s="19" t="s">
        <v>154</v>
      </c>
      <c r="I45" s="19" t="s">
        <v>154</v>
      </c>
      <c r="J45" s="19" t="s">
        <v>154</v>
      </c>
      <c r="K45" s="19" t="s">
        <v>154</v>
      </c>
      <c r="L45" s="19" t="s">
        <v>154</v>
      </c>
      <c r="M45" s="19" t="s">
        <v>154</v>
      </c>
    </row>
    <row r="46" customFormat="false" ht="23.85" hidden="false" customHeight="false" outlineLevel="0" collapsed="false">
      <c r="A46" s="16" t="s">
        <v>1827</v>
      </c>
      <c r="B46" s="16" t="s">
        <v>1773</v>
      </c>
      <c r="C46" s="16" t="n">
        <v>8</v>
      </c>
      <c r="D46" s="18" t="s">
        <v>1828</v>
      </c>
      <c r="E46" s="16" t="s">
        <v>1759</v>
      </c>
      <c r="F46" s="18" t="s">
        <v>1833</v>
      </c>
      <c r="G46" s="19" t="s">
        <v>736</v>
      </c>
      <c r="H46" s="19" t="s">
        <v>154</v>
      </c>
      <c r="I46" s="19" t="s">
        <v>1834</v>
      </c>
      <c r="J46" s="19" t="s">
        <v>154</v>
      </c>
      <c r="K46" s="19" t="s">
        <v>154</v>
      </c>
      <c r="L46" s="19" t="s">
        <v>154</v>
      </c>
      <c r="M46" s="19" t="s">
        <v>1835</v>
      </c>
    </row>
    <row r="47" customFormat="false" ht="23.85" hidden="false" customHeight="false" outlineLevel="0" collapsed="false">
      <c r="A47" s="16" t="s">
        <v>1827</v>
      </c>
      <c r="B47" s="16" t="s">
        <v>1773</v>
      </c>
      <c r="C47" s="16" t="n">
        <v>8</v>
      </c>
      <c r="D47" s="18" t="s">
        <v>1828</v>
      </c>
      <c r="E47" s="16" t="s">
        <v>1759</v>
      </c>
      <c r="F47" s="18" t="s">
        <v>192</v>
      </c>
      <c r="G47" s="19" t="s">
        <v>154</v>
      </c>
      <c r="H47" s="19" t="s">
        <v>154</v>
      </c>
      <c r="I47" s="19" t="s">
        <v>154</v>
      </c>
      <c r="J47" s="19" t="s">
        <v>154</v>
      </c>
      <c r="K47" s="19" t="s">
        <v>154</v>
      </c>
      <c r="L47" s="19" t="s">
        <v>154</v>
      </c>
      <c r="M47" s="19" t="s">
        <v>154</v>
      </c>
    </row>
    <row r="48" customFormat="false" ht="23.85" hidden="false" customHeight="false" outlineLevel="0" collapsed="false">
      <c r="A48" s="16" t="s">
        <v>1827</v>
      </c>
      <c r="B48" s="16" t="s">
        <v>1773</v>
      </c>
      <c r="C48" s="16" t="n">
        <v>8</v>
      </c>
      <c r="D48" s="18" t="s">
        <v>1828</v>
      </c>
      <c r="E48" s="16" t="s">
        <v>1759</v>
      </c>
      <c r="F48" s="18" t="s">
        <v>1796</v>
      </c>
      <c r="G48" s="19" t="s">
        <v>154</v>
      </c>
      <c r="H48" s="19" t="s">
        <v>154</v>
      </c>
      <c r="I48" s="19" t="s">
        <v>154</v>
      </c>
      <c r="J48" s="19" t="s">
        <v>154</v>
      </c>
      <c r="K48" s="19" t="s">
        <v>154</v>
      </c>
      <c r="L48" s="19" t="s">
        <v>154</v>
      </c>
      <c r="M48" s="19" t="s">
        <v>154</v>
      </c>
    </row>
    <row r="49" customFormat="false" ht="15" hidden="false" customHeight="false" outlineLevel="0" collapsed="false">
      <c r="A49" s="16" t="s">
        <v>1836</v>
      </c>
      <c r="B49" s="16" t="s">
        <v>1773</v>
      </c>
      <c r="C49" s="16" t="n">
        <v>9</v>
      </c>
      <c r="D49" s="18" t="s">
        <v>1837</v>
      </c>
      <c r="E49" s="16" t="s">
        <v>1759</v>
      </c>
      <c r="F49" s="18" t="s">
        <v>97</v>
      </c>
      <c r="G49" s="19" t="s">
        <v>519</v>
      </c>
      <c r="H49" s="19" t="s">
        <v>154</v>
      </c>
      <c r="I49" s="19" t="s">
        <v>154</v>
      </c>
      <c r="J49" s="19" t="s">
        <v>154</v>
      </c>
      <c r="K49" s="19" t="s">
        <v>154</v>
      </c>
      <c r="L49" s="19" t="s">
        <v>154</v>
      </c>
      <c r="M49" s="19" t="s">
        <v>154</v>
      </c>
    </row>
    <row r="50" customFormat="false" ht="15" hidden="false" customHeight="false" outlineLevel="0" collapsed="false">
      <c r="A50" s="16" t="s">
        <v>1836</v>
      </c>
      <c r="B50" s="16" t="s">
        <v>1773</v>
      </c>
      <c r="C50" s="16" t="n">
        <v>9</v>
      </c>
      <c r="D50" s="18" t="s">
        <v>1837</v>
      </c>
      <c r="E50" s="16" t="s">
        <v>1759</v>
      </c>
      <c r="F50" s="18" t="s">
        <v>192</v>
      </c>
      <c r="G50" s="19" t="s">
        <v>154</v>
      </c>
      <c r="H50" s="19" t="s">
        <v>154</v>
      </c>
      <c r="I50" s="19" t="s">
        <v>154</v>
      </c>
      <c r="J50" s="19" t="s">
        <v>154</v>
      </c>
      <c r="K50" s="19" t="s">
        <v>154</v>
      </c>
      <c r="L50" s="19" t="s">
        <v>154</v>
      </c>
      <c r="M50" s="19" t="s">
        <v>154</v>
      </c>
    </row>
    <row r="51" customFormat="false" ht="15" hidden="false" customHeight="false" outlineLevel="0" collapsed="false">
      <c r="A51" s="16" t="s">
        <v>1836</v>
      </c>
      <c r="B51" s="16" t="s">
        <v>1773</v>
      </c>
      <c r="C51" s="16" t="n">
        <v>9</v>
      </c>
      <c r="D51" s="18" t="s">
        <v>1837</v>
      </c>
      <c r="E51" s="16" t="s">
        <v>1759</v>
      </c>
      <c r="F51" s="18" t="s">
        <v>1796</v>
      </c>
      <c r="G51" s="19" t="s">
        <v>154</v>
      </c>
      <c r="H51" s="19" t="s">
        <v>154</v>
      </c>
      <c r="I51" s="19" t="s">
        <v>154</v>
      </c>
      <c r="J51" s="19" t="s">
        <v>154</v>
      </c>
      <c r="K51" s="19" t="s">
        <v>154</v>
      </c>
      <c r="L51" s="19" t="s">
        <v>154</v>
      </c>
      <c r="M51" s="19" t="s">
        <v>154</v>
      </c>
    </row>
    <row r="52" customFormat="false" ht="23.85" hidden="false" customHeight="false" outlineLevel="0" collapsed="false">
      <c r="A52" s="16" t="s">
        <v>1838</v>
      </c>
      <c r="B52" s="16" t="s">
        <v>1773</v>
      </c>
      <c r="C52" s="16" t="n">
        <v>10</v>
      </c>
      <c r="D52" s="18" t="s">
        <v>1839</v>
      </c>
      <c r="E52" s="16" t="s">
        <v>1800</v>
      </c>
      <c r="F52" s="18" t="s">
        <v>1840</v>
      </c>
      <c r="G52" s="19" t="s">
        <v>872</v>
      </c>
      <c r="H52" s="19" t="s">
        <v>154</v>
      </c>
      <c r="I52" s="19" t="s">
        <v>1841</v>
      </c>
      <c r="J52" s="19" t="s">
        <v>154</v>
      </c>
      <c r="K52" s="19" t="s">
        <v>1842</v>
      </c>
      <c r="L52" s="19" t="s">
        <v>154</v>
      </c>
      <c r="M52" s="19" t="s">
        <v>154</v>
      </c>
    </row>
    <row r="53" customFormat="false" ht="23.85" hidden="false" customHeight="false" outlineLevel="0" collapsed="false">
      <c r="A53" s="16" t="s">
        <v>1838</v>
      </c>
      <c r="B53" s="16" t="s">
        <v>1773</v>
      </c>
      <c r="C53" s="16" t="n">
        <v>10</v>
      </c>
      <c r="D53" s="18" t="s">
        <v>1839</v>
      </c>
      <c r="E53" s="16" t="s">
        <v>1800</v>
      </c>
      <c r="F53" s="18" t="s">
        <v>1843</v>
      </c>
      <c r="G53" s="19" t="s">
        <v>883</v>
      </c>
      <c r="H53" s="19" t="s">
        <v>154</v>
      </c>
      <c r="I53" s="19" t="s">
        <v>154</v>
      </c>
      <c r="J53" s="19" t="s">
        <v>154</v>
      </c>
      <c r="K53" s="19" t="s">
        <v>1842</v>
      </c>
      <c r="L53" s="19" t="s">
        <v>154</v>
      </c>
      <c r="M53" s="19" t="s">
        <v>154</v>
      </c>
    </row>
    <row r="54" customFormat="false" ht="23.85" hidden="false" customHeight="false" outlineLevel="0" collapsed="false">
      <c r="A54" s="16" t="s">
        <v>1838</v>
      </c>
      <c r="B54" s="16" t="s">
        <v>1773</v>
      </c>
      <c r="C54" s="16" t="n">
        <v>10</v>
      </c>
      <c r="D54" s="18" t="s">
        <v>1839</v>
      </c>
      <c r="E54" s="16" t="s">
        <v>1800</v>
      </c>
      <c r="F54" s="18" t="s">
        <v>1844</v>
      </c>
      <c r="G54" s="19" t="s">
        <v>891</v>
      </c>
      <c r="H54" s="19" t="s">
        <v>154</v>
      </c>
      <c r="I54" s="19" t="s">
        <v>1795</v>
      </c>
      <c r="J54" s="19" t="s">
        <v>154</v>
      </c>
      <c r="K54" s="19" t="s">
        <v>1842</v>
      </c>
      <c r="L54" s="19" t="s">
        <v>154</v>
      </c>
      <c r="M54" s="19" t="s">
        <v>154</v>
      </c>
    </row>
    <row r="55" customFormat="false" ht="23.85" hidden="false" customHeight="false" outlineLevel="0" collapsed="false">
      <c r="A55" s="16" t="s">
        <v>1838</v>
      </c>
      <c r="B55" s="16" t="s">
        <v>1773</v>
      </c>
      <c r="C55" s="16" t="n">
        <v>10</v>
      </c>
      <c r="D55" s="18" t="s">
        <v>1839</v>
      </c>
      <c r="E55" s="16" t="s">
        <v>1800</v>
      </c>
      <c r="F55" s="18" t="s">
        <v>1029</v>
      </c>
      <c r="G55" s="19" t="s">
        <v>154</v>
      </c>
      <c r="H55" s="19" t="s">
        <v>154</v>
      </c>
      <c r="I55" s="19" t="s">
        <v>154</v>
      </c>
      <c r="J55" s="19" t="s">
        <v>154</v>
      </c>
      <c r="K55" s="19" t="s">
        <v>1842</v>
      </c>
      <c r="L55" s="19" t="s">
        <v>154</v>
      </c>
      <c r="M55" s="19" t="s">
        <v>154</v>
      </c>
    </row>
    <row r="56" customFormat="false" ht="23.85" hidden="false" customHeight="false" outlineLevel="0" collapsed="false">
      <c r="A56" s="16" t="s">
        <v>1838</v>
      </c>
      <c r="B56" s="16" t="s">
        <v>1773</v>
      </c>
      <c r="C56" s="16" t="n">
        <v>10</v>
      </c>
      <c r="D56" s="18" t="s">
        <v>1839</v>
      </c>
      <c r="E56" s="16" t="s">
        <v>1800</v>
      </c>
      <c r="F56" s="18" t="s">
        <v>1796</v>
      </c>
      <c r="G56" s="19" t="s">
        <v>154</v>
      </c>
      <c r="H56" s="19" t="s">
        <v>154</v>
      </c>
      <c r="I56" s="19" t="s">
        <v>154</v>
      </c>
      <c r="J56" s="19" t="s">
        <v>154</v>
      </c>
      <c r="K56" s="19" t="s">
        <v>1842</v>
      </c>
      <c r="L56" s="19" t="s">
        <v>154</v>
      </c>
      <c r="M56" s="19" t="s">
        <v>154</v>
      </c>
    </row>
    <row r="57" customFormat="false" ht="15" hidden="false" customHeight="false" outlineLevel="0" collapsed="false">
      <c r="A57" s="16" t="s">
        <v>1845</v>
      </c>
      <c r="B57" s="16" t="s">
        <v>1773</v>
      </c>
      <c r="C57" s="16" t="n">
        <v>11</v>
      </c>
      <c r="D57" s="18" t="s">
        <v>1846</v>
      </c>
      <c r="E57" s="16" t="s">
        <v>1759</v>
      </c>
      <c r="F57" s="18" t="s">
        <v>97</v>
      </c>
      <c r="G57" s="19" t="s">
        <v>638</v>
      </c>
      <c r="H57" s="19" t="s">
        <v>154</v>
      </c>
      <c r="I57" s="19" t="s">
        <v>1847</v>
      </c>
      <c r="J57" s="19" t="s">
        <v>154</v>
      </c>
      <c r="K57" s="19" t="s">
        <v>154</v>
      </c>
      <c r="L57" s="19" t="s">
        <v>154</v>
      </c>
      <c r="M57" s="19" t="s">
        <v>154</v>
      </c>
    </row>
    <row r="58" customFormat="false" ht="15" hidden="false" customHeight="false" outlineLevel="0" collapsed="false">
      <c r="A58" s="16" t="s">
        <v>1845</v>
      </c>
      <c r="B58" s="16" t="s">
        <v>1773</v>
      </c>
      <c r="C58" s="16" t="n">
        <v>11</v>
      </c>
      <c r="D58" s="18" t="s">
        <v>1846</v>
      </c>
      <c r="E58" s="16" t="s">
        <v>1759</v>
      </c>
      <c r="F58" s="18" t="s">
        <v>192</v>
      </c>
      <c r="G58" s="19" t="s">
        <v>638</v>
      </c>
      <c r="H58" s="19" t="s">
        <v>154</v>
      </c>
      <c r="I58" s="19" t="s">
        <v>1848</v>
      </c>
      <c r="J58" s="19" t="s">
        <v>154</v>
      </c>
      <c r="K58" s="19" t="s">
        <v>154</v>
      </c>
      <c r="L58" s="19" t="s">
        <v>154</v>
      </c>
      <c r="M58" s="19" t="s">
        <v>1849</v>
      </c>
    </row>
    <row r="59" customFormat="false" ht="15" hidden="false" customHeight="false" outlineLevel="0" collapsed="false">
      <c r="A59" s="16" t="s">
        <v>1845</v>
      </c>
      <c r="B59" s="16" t="s">
        <v>1773</v>
      </c>
      <c r="C59" s="16" t="n">
        <v>11</v>
      </c>
      <c r="D59" s="18" t="s">
        <v>1846</v>
      </c>
      <c r="E59" s="16" t="s">
        <v>1759</v>
      </c>
      <c r="F59" s="18" t="s">
        <v>1796</v>
      </c>
      <c r="G59" s="19" t="s">
        <v>638</v>
      </c>
      <c r="H59" s="19" t="s">
        <v>154</v>
      </c>
      <c r="I59" s="19" t="s">
        <v>1850</v>
      </c>
      <c r="J59" s="19" t="s">
        <v>154</v>
      </c>
      <c r="K59" s="19" t="s">
        <v>154</v>
      </c>
      <c r="L59" s="19" t="s">
        <v>154</v>
      </c>
      <c r="M59" s="19" t="s">
        <v>1851</v>
      </c>
    </row>
    <row r="60" customFormat="false" ht="102.2" hidden="false" customHeight="false" outlineLevel="0" collapsed="false">
      <c r="A60" s="16" t="s">
        <v>1852</v>
      </c>
      <c r="B60" s="16" t="s">
        <v>1773</v>
      </c>
      <c r="C60" s="16" t="n">
        <v>12</v>
      </c>
      <c r="D60" s="18" t="s">
        <v>1853</v>
      </c>
      <c r="E60" s="16" t="s">
        <v>1854</v>
      </c>
      <c r="F60" s="18" t="s">
        <v>1855</v>
      </c>
      <c r="G60" s="19" t="s">
        <v>154</v>
      </c>
      <c r="H60" s="19" t="s">
        <v>1856</v>
      </c>
      <c r="I60" s="19" t="s">
        <v>154</v>
      </c>
      <c r="J60" s="19" t="s">
        <v>154</v>
      </c>
      <c r="K60" s="19" t="s">
        <v>154</v>
      </c>
      <c r="L60" s="19" t="s">
        <v>154</v>
      </c>
      <c r="M60" s="19" t="s">
        <v>154</v>
      </c>
    </row>
    <row r="61" customFormat="false" ht="57.45" hidden="false" customHeight="false" outlineLevel="0" collapsed="false">
      <c r="A61" s="16" t="s">
        <v>1857</v>
      </c>
      <c r="B61" s="16" t="s">
        <v>1773</v>
      </c>
      <c r="C61" s="16" t="n">
        <v>13</v>
      </c>
      <c r="D61" s="18" t="s">
        <v>1858</v>
      </c>
      <c r="E61" s="16" t="s">
        <v>1854</v>
      </c>
      <c r="F61" s="18" t="s">
        <v>1859</v>
      </c>
      <c r="G61" s="19" t="s">
        <v>154</v>
      </c>
      <c r="H61" s="19" t="s">
        <v>1860</v>
      </c>
      <c r="I61" s="19" t="s">
        <v>154</v>
      </c>
      <c r="J61" s="19" t="s">
        <v>154</v>
      </c>
      <c r="K61" s="19" t="s">
        <v>154</v>
      </c>
      <c r="L61" s="19" t="s">
        <v>154</v>
      </c>
      <c r="M61" s="19" t="s">
        <v>154</v>
      </c>
    </row>
    <row r="62" customFormat="false" ht="57.45" hidden="false" customHeight="false" outlineLevel="0" collapsed="false">
      <c r="A62" s="16" t="s">
        <v>1861</v>
      </c>
      <c r="B62" s="16" t="s">
        <v>1773</v>
      </c>
      <c r="C62" s="16" t="n">
        <v>14</v>
      </c>
      <c r="D62" s="18" t="s">
        <v>1862</v>
      </c>
      <c r="E62" s="16" t="s">
        <v>1854</v>
      </c>
      <c r="F62" s="18" t="s">
        <v>1863</v>
      </c>
      <c r="G62" s="19" t="s">
        <v>154</v>
      </c>
      <c r="H62" s="19" t="s">
        <v>1864</v>
      </c>
      <c r="I62" s="19" t="s">
        <v>154</v>
      </c>
      <c r="J62" s="19" t="s">
        <v>154</v>
      </c>
      <c r="K62" s="19" t="s">
        <v>154</v>
      </c>
      <c r="L62" s="19" t="s">
        <v>154</v>
      </c>
      <c r="M62" s="19" t="s">
        <v>154</v>
      </c>
    </row>
    <row r="63" customFormat="false" ht="35.05" hidden="false" customHeight="false" outlineLevel="0" collapsed="false">
      <c r="A63" s="16" t="s">
        <v>1865</v>
      </c>
      <c r="B63" s="16" t="s">
        <v>1773</v>
      </c>
      <c r="C63" s="16" t="n">
        <v>15</v>
      </c>
      <c r="D63" s="18" t="s">
        <v>1866</v>
      </c>
      <c r="E63" s="16" t="s">
        <v>1854</v>
      </c>
      <c r="F63" s="18" t="s">
        <v>1867</v>
      </c>
      <c r="G63" s="19" t="s">
        <v>154</v>
      </c>
      <c r="H63" s="19" t="s">
        <v>1868</v>
      </c>
      <c r="I63" s="19" t="s">
        <v>154</v>
      </c>
      <c r="J63" s="19" t="s">
        <v>154</v>
      </c>
      <c r="K63" s="19" t="s">
        <v>154</v>
      </c>
      <c r="L63" s="19" t="s">
        <v>154</v>
      </c>
      <c r="M63" s="19" t="s">
        <v>154</v>
      </c>
    </row>
    <row r="64" customFormat="false" ht="23.85" hidden="false" customHeight="false" outlineLevel="0" collapsed="false">
      <c r="A64" s="16" t="s">
        <v>1869</v>
      </c>
      <c r="B64" s="16" t="s">
        <v>1773</v>
      </c>
      <c r="C64" s="16" t="n">
        <v>16</v>
      </c>
      <c r="D64" s="18" t="s">
        <v>1870</v>
      </c>
      <c r="E64" s="16" t="s">
        <v>1854</v>
      </c>
      <c r="F64" s="18" t="s">
        <v>1871</v>
      </c>
      <c r="G64" s="19" t="s">
        <v>154</v>
      </c>
      <c r="H64" s="19" t="s">
        <v>1872</v>
      </c>
      <c r="I64" s="19" t="s">
        <v>154</v>
      </c>
      <c r="J64" s="19" t="s">
        <v>154</v>
      </c>
      <c r="K64" s="19" t="s">
        <v>154</v>
      </c>
      <c r="L64" s="19" t="s">
        <v>154</v>
      </c>
      <c r="M64" s="19" t="s">
        <v>154</v>
      </c>
    </row>
    <row r="65" customFormat="false" ht="23.85" hidden="false" customHeight="false" outlineLevel="0" collapsed="false">
      <c r="A65" s="16" t="s">
        <v>1873</v>
      </c>
      <c r="B65" s="16" t="s">
        <v>1773</v>
      </c>
      <c r="C65" s="16" t="n">
        <v>17</v>
      </c>
      <c r="D65" s="18" t="s">
        <v>1874</v>
      </c>
      <c r="E65" s="16" t="s">
        <v>1854</v>
      </c>
      <c r="F65" s="18" t="s">
        <v>1875</v>
      </c>
      <c r="G65" s="19" t="s">
        <v>154</v>
      </c>
      <c r="H65" s="19" t="s">
        <v>1876</v>
      </c>
      <c r="I65" s="19" t="s">
        <v>154</v>
      </c>
      <c r="J65" s="19" t="s">
        <v>154</v>
      </c>
      <c r="K65" s="19" t="s">
        <v>154</v>
      </c>
      <c r="L65" s="19" t="s">
        <v>154</v>
      </c>
      <c r="M65" s="19" t="s">
        <v>154</v>
      </c>
    </row>
    <row r="66" customFormat="false" ht="35.05" hidden="false" customHeight="false" outlineLevel="0" collapsed="false">
      <c r="A66" s="24" t="s">
        <v>1877</v>
      </c>
      <c r="B66" s="24" t="s">
        <v>1878</v>
      </c>
      <c r="C66" s="24" t="n">
        <v>19</v>
      </c>
      <c r="D66" s="26" t="s">
        <v>1879</v>
      </c>
      <c r="E66" s="24" t="s">
        <v>1759</v>
      </c>
      <c r="F66" s="26" t="s">
        <v>1880</v>
      </c>
      <c r="G66" s="25" t="s">
        <v>154</v>
      </c>
      <c r="H66" s="25" t="s">
        <v>154</v>
      </c>
      <c r="I66" s="25" t="s">
        <v>1881</v>
      </c>
      <c r="J66" s="25" t="s">
        <v>154</v>
      </c>
      <c r="K66" s="25" t="s">
        <v>154</v>
      </c>
      <c r="L66" s="25" t="s">
        <v>154</v>
      </c>
      <c r="M66" s="25" t="s">
        <v>154</v>
      </c>
    </row>
    <row r="67" customFormat="false" ht="35.05" hidden="false" customHeight="false" outlineLevel="0" collapsed="false">
      <c r="A67" s="24" t="s">
        <v>1877</v>
      </c>
      <c r="B67" s="24" t="s">
        <v>1878</v>
      </c>
      <c r="C67" s="24" t="n">
        <v>19</v>
      </c>
      <c r="D67" s="26" t="s">
        <v>1879</v>
      </c>
      <c r="E67" s="24" t="s">
        <v>1759</v>
      </c>
      <c r="F67" s="26" t="s">
        <v>1882</v>
      </c>
      <c r="G67" s="25" t="s">
        <v>154</v>
      </c>
      <c r="H67" s="25" t="s">
        <v>154</v>
      </c>
      <c r="I67" s="25" t="s">
        <v>1883</v>
      </c>
      <c r="J67" s="25" t="s">
        <v>154</v>
      </c>
      <c r="K67" s="25" t="s">
        <v>154</v>
      </c>
      <c r="L67" s="25" t="s">
        <v>1884</v>
      </c>
      <c r="M67" s="25" t="s">
        <v>154</v>
      </c>
    </row>
    <row r="68" customFormat="false" ht="15" hidden="false" customHeight="false" outlineLevel="0" collapsed="false">
      <c r="A68" s="24" t="s">
        <v>1885</v>
      </c>
      <c r="B68" s="24" t="s">
        <v>1878</v>
      </c>
      <c r="C68" s="24" t="n">
        <v>20</v>
      </c>
      <c r="D68" s="26" t="s">
        <v>1886</v>
      </c>
      <c r="E68" s="24" t="s">
        <v>1887</v>
      </c>
      <c r="F68" s="26" t="s">
        <v>355</v>
      </c>
      <c r="G68" s="25" t="s">
        <v>353</v>
      </c>
      <c r="H68" s="25" t="s">
        <v>154</v>
      </c>
      <c r="I68" s="25" t="s">
        <v>154</v>
      </c>
      <c r="J68" s="25" t="s">
        <v>154</v>
      </c>
      <c r="K68" s="25" t="s">
        <v>1888</v>
      </c>
      <c r="L68" s="25" t="s">
        <v>154</v>
      </c>
      <c r="M68" s="25" t="s">
        <v>154</v>
      </c>
    </row>
    <row r="69" customFormat="false" ht="15" hidden="false" customHeight="false" outlineLevel="0" collapsed="false">
      <c r="A69" s="24" t="s">
        <v>1885</v>
      </c>
      <c r="B69" s="24" t="s">
        <v>1878</v>
      </c>
      <c r="C69" s="24" t="n">
        <v>20</v>
      </c>
      <c r="D69" s="26" t="s">
        <v>1886</v>
      </c>
      <c r="E69" s="24" t="s">
        <v>1887</v>
      </c>
      <c r="F69" s="26" t="s">
        <v>362</v>
      </c>
      <c r="G69" s="25" t="s">
        <v>361</v>
      </c>
      <c r="H69" s="25" t="s">
        <v>154</v>
      </c>
      <c r="I69" s="25" t="s">
        <v>154</v>
      </c>
      <c r="J69" s="25" t="s">
        <v>154</v>
      </c>
      <c r="K69" s="25" t="s">
        <v>1888</v>
      </c>
      <c r="L69" s="25" t="s">
        <v>154</v>
      </c>
      <c r="M69" s="25" t="s">
        <v>154</v>
      </c>
    </row>
    <row r="70" customFormat="false" ht="15" hidden="false" customHeight="false" outlineLevel="0" collapsed="false">
      <c r="A70" s="24" t="s">
        <v>1885</v>
      </c>
      <c r="B70" s="24" t="s">
        <v>1878</v>
      </c>
      <c r="C70" s="24" t="n">
        <v>20</v>
      </c>
      <c r="D70" s="26" t="s">
        <v>1886</v>
      </c>
      <c r="E70" s="24" t="s">
        <v>1887</v>
      </c>
      <c r="F70" s="26" t="s">
        <v>385</v>
      </c>
      <c r="G70" s="25" t="s">
        <v>383</v>
      </c>
      <c r="H70" s="25" t="s">
        <v>154</v>
      </c>
      <c r="I70" s="25" t="s">
        <v>154</v>
      </c>
      <c r="J70" s="25" t="s">
        <v>154</v>
      </c>
      <c r="K70" s="25" t="s">
        <v>1888</v>
      </c>
      <c r="L70" s="25" t="s">
        <v>154</v>
      </c>
      <c r="M70" s="25" t="s">
        <v>154</v>
      </c>
    </row>
    <row r="71" customFormat="false" ht="15" hidden="false" customHeight="false" outlineLevel="0" collapsed="false">
      <c r="A71" s="24" t="s">
        <v>1885</v>
      </c>
      <c r="B71" s="24" t="s">
        <v>1878</v>
      </c>
      <c r="C71" s="24" t="n">
        <v>20</v>
      </c>
      <c r="D71" s="26" t="s">
        <v>1886</v>
      </c>
      <c r="E71" s="24" t="s">
        <v>1887</v>
      </c>
      <c r="F71" s="26" t="s">
        <v>1889</v>
      </c>
      <c r="G71" s="25" t="s">
        <v>392</v>
      </c>
      <c r="H71" s="25" t="s">
        <v>154</v>
      </c>
      <c r="I71" s="25" t="s">
        <v>154</v>
      </c>
      <c r="J71" s="25" t="s">
        <v>154</v>
      </c>
      <c r="K71" s="25" t="s">
        <v>1888</v>
      </c>
      <c r="L71" s="25" t="s">
        <v>154</v>
      </c>
      <c r="M71" s="25" t="s">
        <v>154</v>
      </c>
    </row>
    <row r="72" customFormat="false" ht="15" hidden="false" customHeight="false" outlineLevel="0" collapsed="false">
      <c r="A72" s="24" t="s">
        <v>1885</v>
      </c>
      <c r="B72" s="24" t="s">
        <v>1878</v>
      </c>
      <c r="C72" s="24" t="n">
        <v>20</v>
      </c>
      <c r="D72" s="26" t="s">
        <v>1886</v>
      </c>
      <c r="E72" s="24" t="s">
        <v>1887</v>
      </c>
      <c r="F72" s="26" t="s">
        <v>399</v>
      </c>
      <c r="G72" s="25" t="s">
        <v>398</v>
      </c>
      <c r="H72" s="25" t="s">
        <v>154</v>
      </c>
      <c r="I72" s="25" t="s">
        <v>154</v>
      </c>
      <c r="J72" s="25" t="s">
        <v>154</v>
      </c>
      <c r="K72" s="25" t="s">
        <v>1888</v>
      </c>
      <c r="L72" s="25" t="s">
        <v>154</v>
      </c>
      <c r="M72" s="25" t="s">
        <v>154</v>
      </c>
    </row>
    <row r="73" customFormat="false" ht="15" hidden="false" customHeight="false" outlineLevel="0" collapsed="false">
      <c r="A73" s="24" t="s">
        <v>1885</v>
      </c>
      <c r="B73" s="24" t="s">
        <v>1878</v>
      </c>
      <c r="C73" s="24" t="n">
        <v>20</v>
      </c>
      <c r="D73" s="26" t="s">
        <v>1886</v>
      </c>
      <c r="E73" s="24" t="s">
        <v>1887</v>
      </c>
      <c r="F73" s="26" t="s">
        <v>1890</v>
      </c>
      <c r="G73" s="25" t="s">
        <v>410</v>
      </c>
      <c r="H73" s="25" t="s">
        <v>154</v>
      </c>
      <c r="I73" s="25" t="s">
        <v>154</v>
      </c>
      <c r="J73" s="25" t="s">
        <v>154</v>
      </c>
      <c r="K73" s="25" t="s">
        <v>1888</v>
      </c>
      <c r="L73" s="25" t="s">
        <v>154</v>
      </c>
      <c r="M73" s="25" t="s">
        <v>154</v>
      </c>
    </row>
    <row r="74" customFormat="false" ht="15" hidden="false" customHeight="false" outlineLevel="0" collapsed="false">
      <c r="A74" s="24" t="s">
        <v>1885</v>
      </c>
      <c r="B74" s="24" t="s">
        <v>1878</v>
      </c>
      <c r="C74" s="24" t="n">
        <v>20</v>
      </c>
      <c r="D74" s="26" t="s">
        <v>1886</v>
      </c>
      <c r="E74" s="24" t="s">
        <v>1887</v>
      </c>
      <c r="F74" s="26" t="s">
        <v>418</v>
      </c>
      <c r="G74" s="25" t="s">
        <v>417</v>
      </c>
      <c r="H74" s="25" t="s">
        <v>154</v>
      </c>
      <c r="I74" s="25" t="s">
        <v>154</v>
      </c>
      <c r="J74" s="25" t="s">
        <v>154</v>
      </c>
      <c r="K74" s="25" t="s">
        <v>1888</v>
      </c>
      <c r="L74" s="25" t="s">
        <v>154</v>
      </c>
      <c r="M74" s="25" t="s">
        <v>154</v>
      </c>
    </row>
    <row r="75" customFormat="false" ht="15" hidden="false" customHeight="false" outlineLevel="0" collapsed="false">
      <c r="A75" s="24" t="s">
        <v>1885</v>
      </c>
      <c r="B75" s="24" t="s">
        <v>1878</v>
      </c>
      <c r="C75" s="24" t="n">
        <v>20</v>
      </c>
      <c r="D75" s="26" t="s">
        <v>1886</v>
      </c>
      <c r="E75" s="24" t="s">
        <v>1887</v>
      </c>
      <c r="F75" s="26" t="s">
        <v>1891</v>
      </c>
      <c r="G75" s="25" t="s">
        <v>335</v>
      </c>
      <c r="H75" s="25" t="s">
        <v>154</v>
      </c>
      <c r="I75" s="25" t="s">
        <v>154</v>
      </c>
      <c r="J75" s="25" t="s">
        <v>154</v>
      </c>
      <c r="K75" s="25" t="s">
        <v>1888</v>
      </c>
      <c r="L75" s="25" t="s">
        <v>154</v>
      </c>
      <c r="M75" s="25" t="s">
        <v>154</v>
      </c>
    </row>
    <row r="76" customFormat="false" ht="15" hidden="false" customHeight="false" outlineLevel="0" collapsed="false">
      <c r="A76" s="24" t="s">
        <v>1885</v>
      </c>
      <c r="B76" s="24" t="s">
        <v>1878</v>
      </c>
      <c r="C76" s="24" t="n">
        <v>20</v>
      </c>
      <c r="D76" s="26" t="s">
        <v>1886</v>
      </c>
      <c r="E76" s="24" t="s">
        <v>1887</v>
      </c>
      <c r="F76" s="26" t="s">
        <v>1892</v>
      </c>
      <c r="G76" s="25" t="s">
        <v>443</v>
      </c>
      <c r="H76" s="25" t="s">
        <v>154</v>
      </c>
      <c r="I76" s="25" t="s">
        <v>154</v>
      </c>
      <c r="J76" s="25" t="s">
        <v>154</v>
      </c>
      <c r="K76" s="25" t="s">
        <v>1888</v>
      </c>
      <c r="L76" s="25" t="s">
        <v>154</v>
      </c>
      <c r="M76" s="25" t="s">
        <v>154</v>
      </c>
    </row>
    <row r="77" customFormat="false" ht="15" hidden="false" customHeight="false" outlineLevel="0" collapsed="false">
      <c r="A77" s="24" t="s">
        <v>1885</v>
      </c>
      <c r="B77" s="24" t="s">
        <v>1878</v>
      </c>
      <c r="C77" s="24" t="n">
        <v>20</v>
      </c>
      <c r="D77" s="26" t="s">
        <v>1886</v>
      </c>
      <c r="E77" s="24" t="s">
        <v>1887</v>
      </c>
      <c r="F77" s="26" t="s">
        <v>1893</v>
      </c>
      <c r="G77" s="25" t="s">
        <v>448</v>
      </c>
      <c r="H77" s="25" t="s">
        <v>154</v>
      </c>
      <c r="I77" s="25" t="s">
        <v>154</v>
      </c>
      <c r="J77" s="25" t="s">
        <v>154</v>
      </c>
      <c r="K77" s="25" t="s">
        <v>1888</v>
      </c>
      <c r="L77" s="25" t="s">
        <v>154</v>
      </c>
      <c r="M77" s="25" t="s">
        <v>154</v>
      </c>
    </row>
    <row r="78" customFormat="false" ht="15" hidden="false" customHeight="false" outlineLevel="0" collapsed="false">
      <c r="A78" s="24" t="s">
        <v>1885</v>
      </c>
      <c r="B78" s="24" t="s">
        <v>1878</v>
      </c>
      <c r="C78" s="24" t="n">
        <v>20</v>
      </c>
      <c r="D78" s="26" t="s">
        <v>1886</v>
      </c>
      <c r="E78" s="24" t="s">
        <v>1887</v>
      </c>
      <c r="F78" s="26" t="s">
        <v>1894</v>
      </c>
      <c r="G78" s="25" t="s">
        <v>455</v>
      </c>
      <c r="H78" s="25" t="s">
        <v>154</v>
      </c>
      <c r="I78" s="25" t="s">
        <v>154</v>
      </c>
      <c r="J78" s="25" t="s">
        <v>154</v>
      </c>
      <c r="K78" s="25" t="s">
        <v>1888</v>
      </c>
      <c r="L78" s="25" t="s">
        <v>154</v>
      </c>
      <c r="M78" s="25" t="s">
        <v>154</v>
      </c>
    </row>
    <row r="79" customFormat="false" ht="15" hidden="false" customHeight="false" outlineLevel="0" collapsed="false">
      <c r="A79" s="24" t="s">
        <v>1885</v>
      </c>
      <c r="B79" s="24" t="s">
        <v>1878</v>
      </c>
      <c r="C79" s="24" t="n">
        <v>20</v>
      </c>
      <c r="D79" s="26" t="s">
        <v>1886</v>
      </c>
      <c r="E79" s="24" t="s">
        <v>1887</v>
      </c>
      <c r="F79" s="26" t="s">
        <v>463</v>
      </c>
      <c r="G79" s="25" t="s">
        <v>462</v>
      </c>
      <c r="H79" s="25" t="s">
        <v>154</v>
      </c>
      <c r="I79" s="25" t="s">
        <v>154</v>
      </c>
      <c r="J79" s="25" t="s">
        <v>154</v>
      </c>
      <c r="K79" s="25" t="s">
        <v>1888</v>
      </c>
      <c r="L79" s="25" t="s">
        <v>154</v>
      </c>
      <c r="M79" s="25" t="s">
        <v>154</v>
      </c>
    </row>
    <row r="80" customFormat="false" ht="15" hidden="false" customHeight="false" outlineLevel="0" collapsed="false">
      <c r="A80" s="24" t="s">
        <v>1885</v>
      </c>
      <c r="B80" s="24" t="s">
        <v>1878</v>
      </c>
      <c r="C80" s="24" t="n">
        <v>20</v>
      </c>
      <c r="D80" s="26" t="s">
        <v>1886</v>
      </c>
      <c r="E80" s="24" t="s">
        <v>1887</v>
      </c>
      <c r="F80" s="26" t="s">
        <v>1895</v>
      </c>
      <c r="G80" s="25" t="s">
        <v>317</v>
      </c>
      <c r="H80" s="25" t="s">
        <v>154</v>
      </c>
      <c r="I80" s="25" t="s">
        <v>1896</v>
      </c>
      <c r="J80" s="25" t="s">
        <v>154</v>
      </c>
      <c r="K80" s="25" t="s">
        <v>1888</v>
      </c>
      <c r="L80" s="25" t="s">
        <v>154</v>
      </c>
      <c r="M80" s="25" t="s">
        <v>154</v>
      </c>
    </row>
    <row r="81" customFormat="false" ht="15" hidden="false" customHeight="false" outlineLevel="0" collapsed="false">
      <c r="A81" s="24" t="s">
        <v>1885</v>
      </c>
      <c r="B81" s="24" t="s">
        <v>1878</v>
      </c>
      <c r="C81" s="24" t="n">
        <v>20</v>
      </c>
      <c r="D81" s="26" t="s">
        <v>1886</v>
      </c>
      <c r="E81" s="24" t="s">
        <v>1887</v>
      </c>
      <c r="F81" s="26" t="s">
        <v>290</v>
      </c>
      <c r="G81" s="25" t="s">
        <v>289</v>
      </c>
      <c r="H81" s="25" t="s">
        <v>154</v>
      </c>
      <c r="I81" s="25" t="s">
        <v>154</v>
      </c>
      <c r="J81" s="25" t="s">
        <v>154</v>
      </c>
      <c r="K81" s="25" t="s">
        <v>1888</v>
      </c>
      <c r="L81" s="25" t="s">
        <v>154</v>
      </c>
      <c r="M81" s="25" t="s">
        <v>154</v>
      </c>
    </row>
    <row r="82" customFormat="false" ht="15" hidden="false" customHeight="false" outlineLevel="0" collapsed="false">
      <c r="A82" s="24" t="s">
        <v>1885</v>
      </c>
      <c r="B82" s="24" t="s">
        <v>1878</v>
      </c>
      <c r="C82" s="24" t="n">
        <v>20</v>
      </c>
      <c r="D82" s="26" t="s">
        <v>1886</v>
      </c>
      <c r="E82" s="24" t="s">
        <v>1887</v>
      </c>
      <c r="F82" s="26" t="s">
        <v>650</v>
      </c>
      <c r="G82" s="25" t="s">
        <v>649</v>
      </c>
      <c r="H82" s="25" t="s">
        <v>154</v>
      </c>
      <c r="I82" s="25" t="s">
        <v>1897</v>
      </c>
      <c r="J82" s="25" t="s">
        <v>154</v>
      </c>
      <c r="K82" s="25" t="s">
        <v>1888</v>
      </c>
      <c r="L82" s="25" t="s">
        <v>154</v>
      </c>
      <c r="M82" s="25" t="s">
        <v>154</v>
      </c>
    </row>
    <row r="83" customFormat="false" ht="15" hidden="false" customHeight="false" outlineLevel="0" collapsed="false">
      <c r="A83" s="24" t="s">
        <v>1885</v>
      </c>
      <c r="B83" s="24" t="s">
        <v>1878</v>
      </c>
      <c r="C83" s="24" t="n">
        <v>20</v>
      </c>
      <c r="D83" s="26" t="s">
        <v>1886</v>
      </c>
      <c r="E83" s="24" t="s">
        <v>1887</v>
      </c>
      <c r="F83" s="26" t="s">
        <v>716</v>
      </c>
      <c r="G83" s="25" t="s">
        <v>715</v>
      </c>
      <c r="H83" s="25" t="s">
        <v>154</v>
      </c>
      <c r="I83" s="25" t="s">
        <v>154</v>
      </c>
      <c r="J83" s="25" t="s">
        <v>154</v>
      </c>
      <c r="K83" s="25" t="s">
        <v>1888</v>
      </c>
      <c r="L83" s="25" t="s">
        <v>154</v>
      </c>
      <c r="M83" s="25" t="s">
        <v>154</v>
      </c>
    </row>
    <row r="84" customFormat="false" ht="15" hidden="false" customHeight="false" outlineLevel="0" collapsed="false">
      <c r="A84" s="24" t="s">
        <v>1885</v>
      </c>
      <c r="B84" s="24" t="s">
        <v>1878</v>
      </c>
      <c r="C84" s="24" t="n">
        <v>20</v>
      </c>
      <c r="D84" s="26" t="s">
        <v>1886</v>
      </c>
      <c r="E84" s="24" t="s">
        <v>1887</v>
      </c>
      <c r="F84" s="26" t="s">
        <v>698</v>
      </c>
      <c r="G84" s="25" t="s">
        <v>696</v>
      </c>
      <c r="H84" s="25" t="s">
        <v>154</v>
      </c>
      <c r="I84" s="25" t="s">
        <v>154</v>
      </c>
      <c r="J84" s="25" t="s">
        <v>154</v>
      </c>
      <c r="K84" s="25" t="s">
        <v>1888</v>
      </c>
      <c r="L84" s="25" t="s">
        <v>154</v>
      </c>
      <c r="M84" s="25" t="s">
        <v>154</v>
      </c>
    </row>
    <row r="85" customFormat="false" ht="15" hidden="false" customHeight="false" outlineLevel="0" collapsed="false">
      <c r="A85" s="24" t="s">
        <v>1885</v>
      </c>
      <c r="B85" s="24" t="s">
        <v>1878</v>
      </c>
      <c r="C85" s="24" t="n">
        <v>20</v>
      </c>
      <c r="D85" s="26" t="s">
        <v>1886</v>
      </c>
      <c r="E85" s="24" t="s">
        <v>1887</v>
      </c>
      <c r="F85" s="26" t="s">
        <v>1898</v>
      </c>
      <c r="G85" s="25" t="s">
        <v>791</v>
      </c>
      <c r="H85" s="25" t="s">
        <v>154</v>
      </c>
      <c r="I85" s="25" t="s">
        <v>154</v>
      </c>
      <c r="J85" s="25" t="s">
        <v>154</v>
      </c>
      <c r="K85" s="25" t="s">
        <v>1888</v>
      </c>
      <c r="L85" s="25" t="s">
        <v>154</v>
      </c>
      <c r="M85" s="25" t="s">
        <v>154</v>
      </c>
    </row>
    <row r="86" customFormat="false" ht="15" hidden="false" customHeight="false" outlineLevel="0" collapsed="false">
      <c r="A86" s="24" t="s">
        <v>1885</v>
      </c>
      <c r="B86" s="24" t="s">
        <v>1878</v>
      </c>
      <c r="C86" s="24" t="n">
        <v>20</v>
      </c>
      <c r="D86" s="26" t="s">
        <v>1886</v>
      </c>
      <c r="E86" s="24" t="s">
        <v>1887</v>
      </c>
      <c r="F86" s="26" t="s">
        <v>801</v>
      </c>
      <c r="G86" s="25" t="s">
        <v>800</v>
      </c>
      <c r="H86" s="25" t="s">
        <v>154</v>
      </c>
      <c r="I86" s="25" t="s">
        <v>154</v>
      </c>
      <c r="J86" s="25" t="s">
        <v>154</v>
      </c>
      <c r="K86" s="25" t="s">
        <v>1888</v>
      </c>
      <c r="L86" s="25" t="s">
        <v>154</v>
      </c>
      <c r="M86" s="25" t="s">
        <v>154</v>
      </c>
    </row>
    <row r="87" customFormat="false" ht="15" hidden="false" customHeight="false" outlineLevel="0" collapsed="false">
      <c r="A87" s="24" t="s">
        <v>1885</v>
      </c>
      <c r="B87" s="24" t="s">
        <v>1878</v>
      </c>
      <c r="C87" s="24" t="n">
        <v>20</v>
      </c>
      <c r="D87" s="26" t="s">
        <v>1886</v>
      </c>
      <c r="E87" s="24" t="s">
        <v>1887</v>
      </c>
      <c r="F87" s="26" t="s">
        <v>1899</v>
      </c>
      <c r="G87" s="25" t="s">
        <v>1900</v>
      </c>
      <c r="H87" s="25" t="s">
        <v>154</v>
      </c>
      <c r="I87" s="25" t="s">
        <v>1901</v>
      </c>
      <c r="J87" s="25" t="s">
        <v>154</v>
      </c>
      <c r="K87" s="25" t="s">
        <v>1888</v>
      </c>
      <c r="L87" s="25" t="s">
        <v>154</v>
      </c>
      <c r="M87" s="25" t="s">
        <v>154</v>
      </c>
    </row>
    <row r="88" customFormat="false" ht="15" hidden="false" customHeight="false" outlineLevel="0" collapsed="false">
      <c r="A88" s="24" t="s">
        <v>1885</v>
      </c>
      <c r="B88" s="24" t="s">
        <v>1878</v>
      </c>
      <c r="C88" s="24" t="n">
        <v>20</v>
      </c>
      <c r="D88" s="26" t="s">
        <v>1886</v>
      </c>
      <c r="E88" s="24" t="s">
        <v>1887</v>
      </c>
      <c r="F88" s="26" t="s">
        <v>1902</v>
      </c>
      <c r="G88" s="25" t="s">
        <v>605</v>
      </c>
      <c r="H88" s="25" t="s">
        <v>154</v>
      </c>
      <c r="I88" s="25" t="s">
        <v>154</v>
      </c>
      <c r="J88" s="25" t="s">
        <v>154</v>
      </c>
      <c r="K88" s="25" t="s">
        <v>1888</v>
      </c>
      <c r="L88" s="25" t="s">
        <v>154</v>
      </c>
      <c r="M88" s="25" t="s">
        <v>154</v>
      </c>
    </row>
    <row r="89" customFormat="false" ht="15" hidden="false" customHeight="false" outlineLevel="0" collapsed="false">
      <c r="A89" s="24" t="s">
        <v>1885</v>
      </c>
      <c r="B89" s="24" t="s">
        <v>1878</v>
      </c>
      <c r="C89" s="24" t="n">
        <v>20</v>
      </c>
      <c r="D89" s="26" t="s">
        <v>1886</v>
      </c>
      <c r="E89" s="24" t="s">
        <v>1887</v>
      </c>
      <c r="F89" s="26" t="s">
        <v>1903</v>
      </c>
      <c r="G89" s="25" t="s">
        <v>840</v>
      </c>
      <c r="H89" s="25" t="s">
        <v>154</v>
      </c>
      <c r="I89" s="25" t="s">
        <v>154</v>
      </c>
      <c r="J89" s="25" t="s">
        <v>154</v>
      </c>
      <c r="K89" s="25" t="s">
        <v>1888</v>
      </c>
      <c r="L89" s="25" t="s">
        <v>154</v>
      </c>
      <c r="M89" s="25" t="s">
        <v>154</v>
      </c>
    </row>
  </sheetData>
  <autoFilter ref="A5:M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30"/>
    <col collapsed="false" customWidth="true" hidden="false" outlineLevel="0" max="4" min="4" style="0" width="60"/>
    <col collapsed="false" customWidth="true" hidden="false" outlineLevel="0" max="5" min="5" style="0" width="18"/>
    <col collapsed="false" customWidth="true" hidden="false" outlineLevel="0" max="6" min="6" style="0" width="10"/>
    <col collapsed="false" customWidth="true" hidden="false" outlineLevel="0" max="7" min="7" style="0" width="60"/>
  </cols>
  <sheetData>
    <row r="2" customFormat="false" ht="19.7" hidden="false" customHeight="false" outlineLevel="0" collapsed="false">
      <c r="A2" s="1" t="s">
        <v>1904</v>
      </c>
    </row>
    <row r="3" customFormat="false" ht="15" hidden="false" customHeight="false" outlineLevel="0" collapsed="false">
      <c r="A3" s="2" t="s">
        <v>1905</v>
      </c>
    </row>
    <row r="5" customFormat="false" ht="31.5" hidden="false" customHeight="true" outlineLevel="0" collapsed="false">
      <c r="A5" s="9" t="s">
        <v>1906</v>
      </c>
      <c r="B5" s="9" t="s">
        <v>38</v>
      </c>
      <c r="C5" s="9" t="s">
        <v>1907</v>
      </c>
      <c r="D5" s="9" t="s">
        <v>1746</v>
      </c>
      <c r="E5" s="9" t="s">
        <v>1908</v>
      </c>
      <c r="F5" s="9" t="s">
        <v>1909</v>
      </c>
      <c r="G5" s="9" t="s">
        <v>1910</v>
      </c>
    </row>
    <row r="6" customFormat="false" ht="15" hidden="false" customHeight="false" outlineLevel="0" collapsed="false">
      <c r="A6" s="16" t="s">
        <v>917</v>
      </c>
      <c r="B6" s="16" t="s">
        <v>917</v>
      </c>
      <c r="C6" s="19" t="s">
        <v>1911</v>
      </c>
      <c r="D6" s="18" t="s">
        <v>1912</v>
      </c>
      <c r="E6" s="16" t="s">
        <v>1913</v>
      </c>
      <c r="F6" s="16" t="s">
        <v>1914</v>
      </c>
      <c r="G6" s="19" t="s">
        <v>154</v>
      </c>
    </row>
    <row r="7" customFormat="false" ht="15" hidden="false" customHeight="false" outlineLevel="0" collapsed="false">
      <c r="A7" s="16" t="s">
        <v>941</v>
      </c>
      <c r="B7" s="16" t="s">
        <v>941</v>
      </c>
      <c r="C7" s="19" t="s">
        <v>1779</v>
      </c>
      <c r="D7" s="18" t="s">
        <v>1912</v>
      </c>
      <c r="E7" s="16" t="s">
        <v>1913</v>
      </c>
      <c r="F7" s="16" t="s">
        <v>1914</v>
      </c>
      <c r="G7" s="19" t="s">
        <v>154</v>
      </c>
    </row>
    <row r="8" customFormat="false" ht="15" hidden="false" customHeight="false" outlineLevel="0" collapsed="false">
      <c r="A8" s="16" t="s">
        <v>953</v>
      </c>
      <c r="B8" s="16" t="s">
        <v>953</v>
      </c>
      <c r="C8" s="19" t="s">
        <v>1782</v>
      </c>
      <c r="D8" s="18" t="s">
        <v>1912</v>
      </c>
      <c r="E8" s="16" t="s">
        <v>1913</v>
      </c>
      <c r="F8" s="16" t="s">
        <v>1914</v>
      </c>
      <c r="G8" s="19" t="s">
        <v>154</v>
      </c>
    </row>
    <row r="9" customFormat="false" ht="15" hidden="false" customHeight="false" outlineLevel="0" collapsed="false">
      <c r="A9" s="16" t="s">
        <v>977</v>
      </c>
      <c r="B9" s="16" t="s">
        <v>977</v>
      </c>
      <c r="C9" s="19" t="s">
        <v>1787</v>
      </c>
      <c r="D9" s="18" t="s">
        <v>1915</v>
      </c>
      <c r="E9" s="16" t="s">
        <v>1913</v>
      </c>
      <c r="F9" s="16" t="s">
        <v>1914</v>
      </c>
      <c r="G9" s="19" t="s">
        <v>154</v>
      </c>
    </row>
    <row r="10" customFormat="false" ht="15" hidden="false" customHeight="false" outlineLevel="0" collapsed="false">
      <c r="A10" s="16" t="s">
        <v>993</v>
      </c>
      <c r="B10" s="16" t="s">
        <v>993</v>
      </c>
      <c r="C10" s="19" t="s">
        <v>1785</v>
      </c>
      <c r="D10" s="18" t="s">
        <v>1916</v>
      </c>
      <c r="E10" s="16" t="s">
        <v>1913</v>
      </c>
      <c r="F10" s="16" t="s">
        <v>1914</v>
      </c>
      <c r="G10" s="19" t="s">
        <v>154</v>
      </c>
    </row>
    <row r="11" customFormat="false" ht="23.85" hidden="false" customHeight="false" outlineLevel="0" collapsed="false">
      <c r="A11" s="16" t="s">
        <v>997</v>
      </c>
      <c r="B11" s="16" t="s">
        <v>997</v>
      </c>
      <c r="C11" s="19" t="s">
        <v>157</v>
      </c>
      <c r="D11" s="18" t="s">
        <v>1917</v>
      </c>
      <c r="E11" s="16" t="s">
        <v>1913</v>
      </c>
      <c r="F11" s="16" t="s">
        <v>1914</v>
      </c>
      <c r="G11" s="19" t="s">
        <v>1918</v>
      </c>
    </row>
    <row r="12" customFormat="false" ht="15" hidden="false" customHeight="false" outlineLevel="0" collapsed="false">
      <c r="A12" s="16" t="s">
        <v>1010</v>
      </c>
      <c r="B12" s="16" t="s">
        <v>1010</v>
      </c>
      <c r="C12" s="19" t="s">
        <v>146</v>
      </c>
      <c r="D12" s="18" t="s">
        <v>1919</v>
      </c>
      <c r="E12" s="16" t="s">
        <v>1913</v>
      </c>
      <c r="F12" s="16" t="s">
        <v>1914</v>
      </c>
      <c r="G12" s="19" t="s">
        <v>154</v>
      </c>
    </row>
    <row r="13" customFormat="false" ht="23.85" hidden="false" customHeight="false" outlineLevel="0" collapsed="false">
      <c r="A13" s="16" t="s">
        <v>1920</v>
      </c>
      <c r="B13" s="16" t="s">
        <v>1921</v>
      </c>
      <c r="C13" s="19" t="s">
        <v>1922</v>
      </c>
      <c r="D13" s="18" t="s">
        <v>1923</v>
      </c>
      <c r="E13" s="16" t="s">
        <v>1913</v>
      </c>
      <c r="F13" s="16" t="s">
        <v>1914</v>
      </c>
      <c r="G13" s="19" t="s">
        <v>1924</v>
      </c>
    </row>
    <row r="14" customFormat="false" ht="23.85" hidden="false" customHeight="false" outlineLevel="0" collapsed="false">
      <c r="A14" s="16" t="s">
        <v>1925</v>
      </c>
      <c r="B14" s="16" t="s">
        <v>1926</v>
      </c>
      <c r="C14" s="19" t="s">
        <v>1927</v>
      </c>
      <c r="D14" s="18" t="s">
        <v>1923</v>
      </c>
      <c r="E14" s="16" t="s">
        <v>1913</v>
      </c>
      <c r="F14" s="16" t="s">
        <v>1914</v>
      </c>
      <c r="G14" s="19" t="s">
        <v>1924</v>
      </c>
    </row>
    <row r="15" customFormat="false" ht="23.85" hidden="false" customHeight="false" outlineLevel="0" collapsed="false">
      <c r="A15" s="16" t="s">
        <v>1928</v>
      </c>
      <c r="B15" s="16" t="s">
        <v>1929</v>
      </c>
      <c r="C15" s="19" t="s">
        <v>1930</v>
      </c>
      <c r="D15" s="18" t="s">
        <v>1923</v>
      </c>
      <c r="E15" s="16" t="s">
        <v>1913</v>
      </c>
      <c r="F15" s="16" t="s">
        <v>1914</v>
      </c>
      <c r="G15" s="19" t="s">
        <v>1924</v>
      </c>
    </row>
    <row r="16" customFormat="false" ht="23.85" hidden="false" customHeight="false" outlineLevel="0" collapsed="false">
      <c r="A16" s="16" t="s">
        <v>1931</v>
      </c>
      <c r="B16" s="16" t="s">
        <v>1932</v>
      </c>
      <c r="C16" s="19" t="s">
        <v>1933</v>
      </c>
      <c r="D16" s="18" t="s">
        <v>1934</v>
      </c>
      <c r="E16" s="16" t="s">
        <v>1913</v>
      </c>
      <c r="F16" s="16" t="s">
        <v>1914</v>
      </c>
      <c r="G16" s="19" t="s">
        <v>1924</v>
      </c>
    </row>
    <row r="17" customFormat="false" ht="23.85" hidden="false" customHeight="false" outlineLevel="0" collapsed="false">
      <c r="A17" s="16" t="s">
        <v>1935</v>
      </c>
      <c r="B17" s="16" t="s">
        <v>1936</v>
      </c>
      <c r="C17" s="19" t="s">
        <v>1937</v>
      </c>
      <c r="D17" s="18" t="s">
        <v>1938</v>
      </c>
      <c r="E17" s="16" t="s">
        <v>1913</v>
      </c>
      <c r="F17" s="16" t="s">
        <v>1914</v>
      </c>
      <c r="G17" s="19" t="s">
        <v>1924</v>
      </c>
    </row>
    <row r="18" customFormat="false" ht="23.85" hidden="false" customHeight="false" outlineLevel="0" collapsed="false">
      <c r="A18" s="16" t="s">
        <v>1014</v>
      </c>
      <c r="B18" s="16" t="s">
        <v>1014</v>
      </c>
      <c r="C18" s="19" t="s">
        <v>1939</v>
      </c>
      <c r="D18" s="18" t="s">
        <v>1940</v>
      </c>
      <c r="E18" s="16" t="s">
        <v>1913</v>
      </c>
      <c r="F18" s="16" t="s">
        <v>1941</v>
      </c>
      <c r="G18" s="19" t="s">
        <v>154</v>
      </c>
    </row>
    <row r="19" customFormat="false" ht="23.85" hidden="false" customHeight="false" outlineLevel="0" collapsed="false">
      <c r="A19" s="16" t="s">
        <v>1038</v>
      </c>
      <c r="B19" s="16" t="s">
        <v>1038</v>
      </c>
      <c r="C19" s="19" t="s">
        <v>1942</v>
      </c>
      <c r="D19" s="18" t="s">
        <v>1940</v>
      </c>
      <c r="E19" s="16" t="s">
        <v>1913</v>
      </c>
      <c r="F19" s="16" t="s">
        <v>1941</v>
      </c>
      <c r="G19" s="19" t="s">
        <v>154</v>
      </c>
    </row>
    <row r="20" customFormat="false" ht="23.85" hidden="false" customHeight="false" outlineLevel="0" collapsed="false">
      <c r="A20" s="16" t="s">
        <v>1574</v>
      </c>
      <c r="B20" s="16" t="s">
        <v>1574</v>
      </c>
      <c r="C20" s="19" t="s">
        <v>1943</v>
      </c>
      <c r="D20" s="18" t="s">
        <v>1944</v>
      </c>
      <c r="E20" s="16" t="s">
        <v>1913</v>
      </c>
      <c r="F20" s="16" t="s">
        <v>1941</v>
      </c>
      <c r="G20" s="19" t="s">
        <v>154</v>
      </c>
    </row>
    <row r="21" customFormat="false" ht="23.85" hidden="false" customHeight="false" outlineLevel="0" collapsed="false">
      <c r="A21" s="16" t="s">
        <v>1092</v>
      </c>
      <c r="B21" s="16" t="s">
        <v>1092</v>
      </c>
      <c r="C21" s="19" t="s">
        <v>262</v>
      </c>
      <c r="D21" s="18" t="s">
        <v>1945</v>
      </c>
      <c r="E21" s="16" t="s">
        <v>1913</v>
      </c>
      <c r="F21" s="16" t="s">
        <v>1941</v>
      </c>
      <c r="G21" s="19" t="s">
        <v>154</v>
      </c>
    </row>
    <row r="22" customFormat="false" ht="23.85" hidden="false" customHeight="false" outlineLevel="0" collapsed="false">
      <c r="A22" s="16" t="s">
        <v>1594</v>
      </c>
      <c r="B22" s="16" t="s">
        <v>1594</v>
      </c>
      <c r="C22" s="19" t="s">
        <v>1810</v>
      </c>
      <c r="D22" s="18" t="s">
        <v>1946</v>
      </c>
      <c r="E22" s="16" t="s">
        <v>1913</v>
      </c>
      <c r="F22" s="16" t="s">
        <v>1914</v>
      </c>
      <c r="G22" s="19" t="s">
        <v>154</v>
      </c>
    </row>
    <row r="23" customFormat="false" ht="15" hidden="false" customHeight="false" outlineLevel="0" collapsed="false">
      <c r="A23" s="16" t="s">
        <v>1552</v>
      </c>
      <c r="B23" s="16" t="s">
        <v>1552</v>
      </c>
      <c r="C23" s="19" t="s">
        <v>296</v>
      </c>
      <c r="D23" s="18" t="s">
        <v>1947</v>
      </c>
      <c r="E23" s="16" t="s">
        <v>1913</v>
      </c>
      <c r="F23" s="16" t="s">
        <v>1941</v>
      </c>
      <c r="G23" s="19" t="s">
        <v>154</v>
      </c>
    </row>
    <row r="24" customFormat="false" ht="23.85" hidden="false" customHeight="false" outlineLevel="0" collapsed="false">
      <c r="A24" s="16" t="s">
        <v>1699</v>
      </c>
      <c r="B24" s="16" t="s">
        <v>1699</v>
      </c>
      <c r="C24" s="19" t="s">
        <v>768</v>
      </c>
      <c r="D24" s="18" t="s">
        <v>1948</v>
      </c>
      <c r="E24" s="16" t="s">
        <v>1913</v>
      </c>
      <c r="F24" s="16" t="s">
        <v>1941</v>
      </c>
      <c r="G24" s="19" t="s">
        <v>154</v>
      </c>
    </row>
    <row r="25" customFormat="false" ht="23.85" hidden="false" customHeight="false" outlineLevel="0" collapsed="false">
      <c r="A25" s="16" t="s">
        <v>1569</v>
      </c>
      <c r="B25" s="16" t="s">
        <v>1569</v>
      </c>
      <c r="C25" s="19" t="s">
        <v>1949</v>
      </c>
      <c r="D25" s="18" t="s">
        <v>1950</v>
      </c>
      <c r="E25" s="16" t="s">
        <v>1913</v>
      </c>
      <c r="F25" s="16" t="s">
        <v>1914</v>
      </c>
      <c r="G25" s="19" t="s">
        <v>154</v>
      </c>
    </row>
    <row r="26" customFormat="false" ht="23.85" hidden="false" customHeight="false" outlineLevel="0" collapsed="false">
      <c r="A26" s="16" t="s">
        <v>1584</v>
      </c>
      <c r="B26" s="16" t="s">
        <v>1584</v>
      </c>
      <c r="C26" s="19" t="s">
        <v>1951</v>
      </c>
      <c r="D26" s="18" t="s">
        <v>1952</v>
      </c>
      <c r="E26" s="16" t="s">
        <v>1913</v>
      </c>
      <c r="F26" s="16" t="s">
        <v>1953</v>
      </c>
      <c r="G26" s="19" t="s">
        <v>1954</v>
      </c>
    </row>
    <row r="27" customFormat="false" ht="15" hidden="false" customHeight="false" outlineLevel="0" collapsed="false">
      <c r="A27" s="16" t="s">
        <v>1302</v>
      </c>
      <c r="B27" s="16" t="s">
        <v>1302</v>
      </c>
      <c r="C27" s="19" t="s">
        <v>1955</v>
      </c>
      <c r="D27" s="18" t="s">
        <v>1956</v>
      </c>
      <c r="E27" s="16" t="s">
        <v>1913</v>
      </c>
      <c r="F27" s="16" t="s">
        <v>1957</v>
      </c>
      <c r="G27" s="19" t="s">
        <v>1958</v>
      </c>
    </row>
    <row r="28" customFormat="false" ht="23.85" hidden="false" customHeight="false" outlineLevel="0" collapsed="false">
      <c r="A28" s="16" t="s">
        <v>1309</v>
      </c>
      <c r="B28" s="16" t="s">
        <v>1309</v>
      </c>
      <c r="C28" s="19" t="s">
        <v>1955</v>
      </c>
      <c r="D28" s="18" t="s">
        <v>1959</v>
      </c>
      <c r="E28" s="16" t="s">
        <v>1913</v>
      </c>
      <c r="F28" s="16" t="s">
        <v>641</v>
      </c>
      <c r="G28" s="19" t="s">
        <v>1960</v>
      </c>
    </row>
    <row r="29" customFormat="false" ht="15" hidden="false" customHeight="false" outlineLevel="0" collapsed="false">
      <c r="A29" s="16" t="s">
        <v>1326</v>
      </c>
      <c r="B29" s="16" t="s">
        <v>1326</v>
      </c>
      <c r="C29" s="19" t="s">
        <v>1961</v>
      </c>
      <c r="D29" s="18" t="s">
        <v>1962</v>
      </c>
      <c r="E29" s="16" t="s">
        <v>1913</v>
      </c>
      <c r="F29" s="16" t="s">
        <v>1914</v>
      </c>
      <c r="G29" s="19" t="s">
        <v>154</v>
      </c>
    </row>
    <row r="30" customFormat="false" ht="15" hidden="false" customHeight="false" outlineLevel="0" collapsed="false">
      <c r="A30" s="16" t="s">
        <v>1388</v>
      </c>
      <c r="B30" s="16" t="s">
        <v>1388</v>
      </c>
      <c r="C30" s="19" t="s">
        <v>1963</v>
      </c>
      <c r="D30" s="18" t="s">
        <v>1964</v>
      </c>
      <c r="E30" s="16" t="s">
        <v>1913</v>
      </c>
      <c r="F30" s="16" t="s">
        <v>1953</v>
      </c>
      <c r="G30" s="19" t="s">
        <v>154</v>
      </c>
    </row>
    <row r="31" customFormat="false" ht="15" hidden="false" customHeight="false" outlineLevel="0" collapsed="false">
      <c r="A31" s="16" t="s">
        <v>1674</v>
      </c>
      <c r="B31" s="16" t="s">
        <v>1674</v>
      </c>
      <c r="C31" s="19" t="s">
        <v>1965</v>
      </c>
      <c r="D31" s="18" t="s">
        <v>1966</v>
      </c>
      <c r="E31" s="16" t="s">
        <v>1913</v>
      </c>
      <c r="F31" s="16" t="s">
        <v>1967</v>
      </c>
      <c r="G31" s="19" t="s">
        <v>1968</v>
      </c>
    </row>
    <row r="32" customFormat="false" ht="23.85" hidden="false" customHeight="false" outlineLevel="0" collapsed="false">
      <c r="A32" s="16" t="s">
        <v>1246</v>
      </c>
      <c r="B32" s="16" t="s">
        <v>1246</v>
      </c>
      <c r="C32" s="19" t="s">
        <v>1969</v>
      </c>
      <c r="D32" s="18" t="s">
        <v>1970</v>
      </c>
      <c r="E32" s="16" t="s">
        <v>1971</v>
      </c>
      <c r="F32" s="16" t="s">
        <v>154</v>
      </c>
      <c r="G32" s="19" t="s">
        <v>1972</v>
      </c>
    </row>
    <row r="33" customFormat="false" ht="35.05" hidden="false" customHeight="false" outlineLevel="0" collapsed="false">
      <c r="A33" s="16" t="s">
        <v>1366</v>
      </c>
      <c r="B33" s="16" t="s">
        <v>1366</v>
      </c>
      <c r="C33" s="19" t="s">
        <v>1973</v>
      </c>
      <c r="D33" s="18" t="s">
        <v>1974</v>
      </c>
      <c r="E33" s="16" t="s">
        <v>1975</v>
      </c>
      <c r="F33" s="16" t="s">
        <v>641</v>
      </c>
      <c r="G33" s="19" t="s">
        <v>1976</v>
      </c>
    </row>
    <row r="34" customFormat="false" ht="23.85" hidden="false" customHeight="false" outlineLevel="0" collapsed="false">
      <c r="A34" s="16" t="s">
        <v>1727</v>
      </c>
      <c r="B34" s="16" t="s">
        <v>1727</v>
      </c>
      <c r="C34" s="19" t="s">
        <v>1840</v>
      </c>
      <c r="D34" s="18" t="s">
        <v>1977</v>
      </c>
      <c r="E34" s="16" t="s">
        <v>1978</v>
      </c>
      <c r="F34" s="16" t="s">
        <v>1941</v>
      </c>
      <c r="G34" s="19" t="s">
        <v>1979</v>
      </c>
    </row>
    <row r="35" customFormat="false" ht="23.85" hidden="false" customHeight="false" outlineLevel="0" collapsed="false">
      <c r="A35" s="16" t="s">
        <v>1732</v>
      </c>
      <c r="B35" s="16" t="s">
        <v>1732</v>
      </c>
      <c r="C35" s="19" t="s">
        <v>1843</v>
      </c>
      <c r="D35" s="18" t="s">
        <v>1980</v>
      </c>
      <c r="E35" s="16" t="s">
        <v>1978</v>
      </c>
      <c r="F35" s="16" t="s">
        <v>1967</v>
      </c>
      <c r="G35" s="19" t="s">
        <v>1981</v>
      </c>
    </row>
    <row r="36" customFormat="false" ht="23.85" hidden="false" customHeight="false" outlineLevel="0" collapsed="false">
      <c r="A36" s="16" t="s">
        <v>1649</v>
      </c>
      <c r="B36" s="16" t="s">
        <v>1649</v>
      </c>
      <c r="C36" s="19" t="s">
        <v>1982</v>
      </c>
      <c r="D36" s="18" t="s">
        <v>1983</v>
      </c>
      <c r="E36" s="16" t="s">
        <v>1984</v>
      </c>
      <c r="F36" s="16" t="s">
        <v>154</v>
      </c>
      <c r="G36" s="19" t="s">
        <v>1985</v>
      </c>
    </row>
    <row r="37" customFormat="false" ht="15" hidden="false" customHeight="false" outlineLevel="0" collapsed="false">
      <c r="A37" s="29" t="s">
        <v>1362</v>
      </c>
      <c r="B37" s="29" t="s">
        <v>1362</v>
      </c>
      <c r="C37" s="21" t="s">
        <v>1973</v>
      </c>
      <c r="D37" s="30" t="s">
        <v>154</v>
      </c>
      <c r="E37" s="29" t="s">
        <v>76</v>
      </c>
      <c r="F37" s="29" t="s">
        <v>154</v>
      </c>
      <c r="G37" s="21" t="s">
        <v>1986</v>
      </c>
    </row>
    <row r="38" customFormat="false" ht="15" hidden="false" customHeight="false" outlineLevel="0" collapsed="false">
      <c r="A38" s="29" t="s">
        <v>1383</v>
      </c>
      <c r="B38" s="29" t="s">
        <v>1383</v>
      </c>
      <c r="C38" s="21" t="s">
        <v>1963</v>
      </c>
      <c r="D38" s="30" t="s">
        <v>154</v>
      </c>
      <c r="E38" s="29" t="s">
        <v>76</v>
      </c>
      <c r="F38" s="29" t="s">
        <v>154</v>
      </c>
      <c r="G38" s="21" t="s">
        <v>1987</v>
      </c>
    </row>
    <row r="39" customFormat="false" ht="23.85" hidden="false" customHeight="false" outlineLevel="0" collapsed="false">
      <c r="A39" s="29" t="s">
        <v>1418</v>
      </c>
      <c r="B39" s="29" t="s">
        <v>1418</v>
      </c>
      <c r="C39" s="21" t="s">
        <v>737</v>
      </c>
      <c r="D39" s="30" t="s">
        <v>154</v>
      </c>
      <c r="E39" s="29" t="s">
        <v>76</v>
      </c>
      <c r="F39" s="29" t="s">
        <v>154</v>
      </c>
      <c r="G39" s="21" t="s">
        <v>1988</v>
      </c>
    </row>
    <row r="40" customFormat="false" ht="15" hidden="false" customHeight="false" outlineLevel="0" collapsed="false">
      <c r="A40" s="29" t="s">
        <v>1456</v>
      </c>
      <c r="B40" s="29" t="s">
        <v>1456</v>
      </c>
      <c r="C40" s="21" t="s">
        <v>778</v>
      </c>
      <c r="D40" s="30" t="s">
        <v>154</v>
      </c>
      <c r="E40" s="29" t="s">
        <v>76</v>
      </c>
      <c r="F40" s="29" t="s">
        <v>154</v>
      </c>
      <c r="G40" s="21" t="s">
        <v>1986</v>
      </c>
    </row>
    <row r="41" customFormat="false" ht="23.85" hidden="false" customHeight="false" outlineLevel="0" collapsed="false">
      <c r="A41" s="29" t="s">
        <v>1004</v>
      </c>
      <c r="B41" s="29" t="s">
        <v>1004</v>
      </c>
      <c r="C41" s="21" t="s">
        <v>157</v>
      </c>
      <c r="D41" s="30" t="s">
        <v>154</v>
      </c>
      <c r="E41" s="29" t="s">
        <v>1989</v>
      </c>
      <c r="F41" s="29" t="s">
        <v>154</v>
      </c>
      <c r="G41" s="21" t="s">
        <v>1990</v>
      </c>
    </row>
  </sheetData>
  <autoFilter ref="A5:G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4"/>
    <col collapsed="false" customWidth="true" hidden="false" outlineLevel="0" max="4" min="4" style="0" width="36"/>
    <col collapsed="false" customWidth="true" hidden="false" outlineLevel="0" max="5" min="5" style="0" width="40"/>
    <col collapsed="false" customWidth="true" hidden="false" outlineLevel="0" max="6" min="6" style="0" width="44"/>
    <col collapsed="false" customWidth="true" hidden="false" outlineLevel="0" max="8" min="7" style="0" width="50"/>
    <col collapsed="false" customWidth="true" hidden="false" outlineLevel="0" max="9" min="9" style="0" width="48"/>
    <col collapsed="false" customWidth="true" hidden="false" outlineLevel="0" max="10" min="10" style="0" width="22"/>
  </cols>
  <sheetData>
    <row r="2" customFormat="false" ht="19.7" hidden="false" customHeight="false" outlineLevel="0" collapsed="false">
      <c r="A2" s="1" t="s">
        <v>1991</v>
      </c>
    </row>
    <row r="3" customFormat="false" ht="15" hidden="false" customHeight="false" outlineLevel="0" collapsed="false">
      <c r="A3" s="2" t="s">
        <v>1992</v>
      </c>
    </row>
    <row r="5" customFormat="false" ht="31.5" hidden="false" customHeight="true" outlineLevel="0" collapsed="false">
      <c r="A5" s="9" t="s">
        <v>1993</v>
      </c>
      <c r="B5" s="9" t="s">
        <v>1994</v>
      </c>
      <c r="C5" s="9" t="s">
        <v>1995</v>
      </c>
      <c r="D5" s="9" t="s">
        <v>1996</v>
      </c>
      <c r="E5" s="9" t="s">
        <v>1997</v>
      </c>
      <c r="F5" s="9" t="s">
        <v>1998</v>
      </c>
      <c r="G5" s="9" t="s">
        <v>1999</v>
      </c>
      <c r="H5" s="9" t="s">
        <v>2000</v>
      </c>
      <c r="I5" s="9" t="s">
        <v>2001</v>
      </c>
      <c r="J5" s="9" t="s">
        <v>2002</v>
      </c>
    </row>
    <row r="6" customFormat="false" ht="46.25" hidden="false" customHeight="false" outlineLevel="0" collapsed="false">
      <c r="A6" s="10" t="s">
        <v>2003</v>
      </c>
      <c r="B6" s="15" t="s">
        <v>2004</v>
      </c>
      <c r="C6" s="15" t="s">
        <v>2005</v>
      </c>
      <c r="D6" s="15" t="s">
        <v>2006</v>
      </c>
      <c r="E6" s="15" t="s">
        <v>2007</v>
      </c>
      <c r="F6" s="15" t="s">
        <v>2008</v>
      </c>
      <c r="G6" s="15" t="s">
        <v>2009</v>
      </c>
      <c r="H6" s="15" t="s">
        <v>2010</v>
      </c>
      <c r="I6" s="15" t="s">
        <v>2011</v>
      </c>
      <c r="J6" s="18" t="s">
        <v>2012</v>
      </c>
    </row>
    <row r="7" customFormat="false" ht="35.05" hidden="false" customHeight="false" outlineLevel="0" collapsed="false">
      <c r="A7" s="10" t="s">
        <v>2013</v>
      </c>
      <c r="B7" s="15" t="s">
        <v>2013</v>
      </c>
      <c r="C7" s="15" t="s">
        <v>2014</v>
      </c>
      <c r="D7" s="15" t="s">
        <v>2015</v>
      </c>
      <c r="E7" s="15" t="s">
        <v>2016</v>
      </c>
      <c r="F7" s="15" t="s">
        <v>2017</v>
      </c>
      <c r="G7" s="15" t="s">
        <v>2018</v>
      </c>
      <c r="H7" s="15" t="s">
        <v>2019</v>
      </c>
      <c r="I7" s="15" t="s">
        <v>2020</v>
      </c>
      <c r="J7" s="18" t="s">
        <v>2012</v>
      </c>
    </row>
    <row r="8" customFormat="false" ht="35.05" hidden="false" customHeight="false" outlineLevel="0" collapsed="false">
      <c r="A8" s="10" t="s">
        <v>2021</v>
      </c>
      <c r="B8" s="15" t="s">
        <v>2021</v>
      </c>
      <c r="C8" s="15" t="s">
        <v>2022</v>
      </c>
      <c r="D8" s="15" t="s">
        <v>2023</v>
      </c>
      <c r="E8" s="15" t="s">
        <v>2024</v>
      </c>
      <c r="F8" s="15" t="s">
        <v>2017</v>
      </c>
      <c r="G8" s="15" t="s">
        <v>2025</v>
      </c>
      <c r="H8" s="15" t="s">
        <v>2026</v>
      </c>
      <c r="I8" s="15" t="s">
        <v>2027</v>
      </c>
      <c r="J8" s="18" t="s">
        <v>2012</v>
      </c>
    </row>
    <row r="9" customFormat="false" ht="57.45" hidden="false" customHeight="false" outlineLevel="0" collapsed="false">
      <c r="A9" s="10" t="s">
        <v>2028</v>
      </c>
      <c r="B9" s="15" t="s">
        <v>2028</v>
      </c>
      <c r="C9" s="15" t="s">
        <v>2029</v>
      </c>
      <c r="D9" s="15" t="s">
        <v>2030</v>
      </c>
      <c r="E9" s="15" t="s">
        <v>2031</v>
      </c>
      <c r="F9" s="15" t="s">
        <v>2017</v>
      </c>
      <c r="G9" s="15" t="s">
        <v>2032</v>
      </c>
      <c r="H9" s="15" t="s">
        <v>2033</v>
      </c>
      <c r="I9" s="15" t="s">
        <v>2034</v>
      </c>
      <c r="J9" s="18" t="s">
        <v>2012</v>
      </c>
    </row>
    <row r="10" customFormat="false" ht="57.45" hidden="false" customHeight="false" outlineLevel="0" collapsed="false">
      <c r="A10" s="10" t="s">
        <v>2035</v>
      </c>
      <c r="B10" s="15" t="s">
        <v>2035</v>
      </c>
      <c r="C10" s="15" t="s">
        <v>2029</v>
      </c>
      <c r="D10" s="15" t="s">
        <v>2036</v>
      </c>
      <c r="E10" s="15" t="s">
        <v>2037</v>
      </c>
      <c r="F10" s="15" t="s">
        <v>2017</v>
      </c>
      <c r="G10" s="15" t="s">
        <v>2038</v>
      </c>
      <c r="H10" s="15" t="s">
        <v>154</v>
      </c>
      <c r="I10" s="15" t="s">
        <v>2039</v>
      </c>
      <c r="J10" s="18" t="s">
        <v>2012</v>
      </c>
    </row>
    <row r="11" customFormat="false" ht="35.05" hidden="false" customHeight="false" outlineLevel="0" collapsed="false">
      <c r="A11" s="10" t="s">
        <v>2040</v>
      </c>
      <c r="B11" s="15" t="s">
        <v>2041</v>
      </c>
      <c r="C11" s="15" t="s">
        <v>2042</v>
      </c>
      <c r="D11" s="15" t="s">
        <v>2043</v>
      </c>
      <c r="E11" s="15" t="s">
        <v>2044</v>
      </c>
      <c r="F11" s="15" t="s">
        <v>2017</v>
      </c>
      <c r="G11" s="15" t="s">
        <v>2045</v>
      </c>
      <c r="H11" s="15" t="s">
        <v>2046</v>
      </c>
      <c r="I11" s="15" t="s">
        <v>2047</v>
      </c>
      <c r="J11" s="18" t="s">
        <v>2048</v>
      </c>
    </row>
    <row r="12" customFormat="false" ht="35.05" hidden="false" customHeight="false" outlineLevel="0" collapsed="false">
      <c r="A12" s="10" t="s">
        <v>2049</v>
      </c>
      <c r="B12" s="15" t="s">
        <v>2050</v>
      </c>
      <c r="C12" s="15" t="s">
        <v>2042</v>
      </c>
      <c r="D12" s="15" t="s">
        <v>2051</v>
      </c>
      <c r="E12" s="15" t="s">
        <v>2052</v>
      </c>
      <c r="F12" s="15" t="s">
        <v>2017</v>
      </c>
      <c r="G12" s="15" t="s">
        <v>2045</v>
      </c>
      <c r="H12" s="15" t="s">
        <v>2053</v>
      </c>
      <c r="I12" s="15" t="s">
        <v>2054</v>
      </c>
      <c r="J12" s="18" t="s">
        <v>2055</v>
      </c>
    </row>
    <row r="13" customFormat="false" ht="35.05" hidden="false" customHeight="false" outlineLevel="0" collapsed="false">
      <c r="A13" s="10" t="s">
        <v>2056</v>
      </c>
      <c r="B13" s="15" t="s">
        <v>2057</v>
      </c>
      <c r="C13" s="15" t="s">
        <v>2042</v>
      </c>
      <c r="D13" s="15" t="s">
        <v>2058</v>
      </c>
      <c r="E13" s="15" t="s">
        <v>2059</v>
      </c>
      <c r="F13" s="15" t="s">
        <v>2017</v>
      </c>
      <c r="G13" s="15" t="s">
        <v>2060</v>
      </c>
      <c r="H13" s="15" t="s">
        <v>2061</v>
      </c>
      <c r="I13" s="15" t="s">
        <v>2062</v>
      </c>
      <c r="J13" s="18" t="s">
        <v>2063</v>
      </c>
    </row>
    <row r="14" customFormat="false" ht="23.85" hidden="false" customHeight="false" outlineLevel="0" collapsed="false">
      <c r="A14" s="10" t="s">
        <v>2064</v>
      </c>
      <c r="B14" s="15" t="s">
        <v>2065</v>
      </c>
      <c r="C14" s="15" t="s">
        <v>2066</v>
      </c>
      <c r="D14" s="15" t="s">
        <v>2067</v>
      </c>
      <c r="E14" s="15" t="s">
        <v>2068</v>
      </c>
      <c r="F14" s="15" t="s">
        <v>2017</v>
      </c>
      <c r="G14" s="15" t="s">
        <v>2069</v>
      </c>
      <c r="H14" s="15" t="s">
        <v>2070</v>
      </c>
      <c r="I14" s="15" t="s">
        <v>2071</v>
      </c>
      <c r="J14" s="18" t="s">
        <v>2072</v>
      </c>
    </row>
    <row r="15" customFormat="false" ht="46.25" hidden="false" customHeight="false" outlineLevel="0" collapsed="false">
      <c r="A15" s="10" t="s">
        <v>2073</v>
      </c>
      <c r="B15" s="15" t="s">
        <v>2074</v>
      </c>
      <c r="C15" s="15" t="s">
        <v>2075</v>
      </c>
      <c r="D15" s="15" t="s">
        <v>2076</v>
      </c>
      <c r="E15" s="15" t="s">
        <v>2077</v>
      </c>
      <c r="F15" s="15" t="s">
        <v>154</v>
      </c>
      <c r="G15" s="15" t="s">
        <v>182</v>
      </c>
      <c r="H15" s="15" t="s">
        <v>2078</v>
      </c>
      <c r="I15" s="15" t="s">
        <v>2079</v>
      </c>
      <c r="J15" s="18" t="s">
        <v>2080</v>
      </c>
    </row>
    <row r="16" customFormat="false" ht="15" hidden="false" customHeight="false" outlineLevel="0" collapsed="false">
      <c r="A16" s="10" t="s">
        <v>2081</v>
      </c>
      <c r="B16" s="15" t="s">
        <v>2082</v>
      </c>
      <c r="C16" s="15" t="s">
        <v>2042</v>
      </c>
      <c r="D16" s="15" t="s">
        <v>2017</v>
      </c>
      <c r="E16" s="15" t="s">
        <v>2017</v>
      </c>
      <c r="F16" s="15" t="s">
        <v>2017</v>
      </c>
      <c r="G16" s="15" t="s">
        <v>2083</v>
      </c>
      <c r="H16" s="15" t="s">
        <v>154</v>
      </c>
      <c r="I16" s="15" t="s">
        <v>154</v>
      </c>
      <c r="J16" s="18" t="s">
        <v>2017</v>
      </c>
    </row>
    <row r="17" customFormat="false" ht="15" hidden="false" customHeight="false" outlineLevel="0" collapsed="false">
      <c r="A17" s="10" t="s">
        <v>2084</v>
      </c>
      <c r="B17" s="15" t="s">
        <v>2085</v>
      </c>
      <c r="C17" s="15" t="s">
        <v>2042</v>
      </c>
      <c r="D17" s="15" t="s">
        <v>2017</v>
      </c>
      <c r="E17" s="15" t="s">
        <v>2017</v>
      </c>
      <c r="F17" s="15" t="s">
        <v>2017</v>
      </c>
      <c r="G17" s="15" t="s">
        <v>2083</v>
      </c>
      <c r="H17" s="15" t="s">
        <v>154</v>
      </c>
      <c r="I17" s="15" t="s">
        <v>154</v>
      </c>
      <c r="J17" s="18" t="s">
        <v>2017</v>
      </c>
    </row>
    <row r="18" customFormat="false" ht="23.85" hidden="false" customHeight="false" outlineLevel="0" collapsed="false">
      <c r="A18" s="10" t="s">
        <v>2086</v>
      </c>
      <c r="B18" s="15" t="s">
        <v>2087</v>
      </c>
      <c r="C18" s="15" t="s">
        <v>2042</v>
      </c>
      <c r="D18" s="15" t="s">
        <v>2017</v>
      </c>
      <c r="E18" s="15" t="s">
        <v>2017</v>
      </c>
      <c r="F18" s="15" t="s">
        <v>2017</v>
      </c>
      <c r="G18" s="15" t="s">
        <v>2083</v>
      </c>
      <c r="H18" s="15" t="s">
        <v>154</v>
      </c>
      <c r="I18" s="15" t="s">
        <v>154</v>
      </c>
      <c r="J18" s="18" t="s">
        <v>2017</v>
      </c>
    </row>
    <row r="19" customFormat="false" ht="23.85" hidden="false" customHeight="false" outlineLevel="0" collapsed="false">
      <c r="A19" s="10" t="s">
        <v>2088</v>
      </c>
      <c r="B19" s="15" t="s">
        <v>2089</v>
      </c>
      <c r="C19" s="15" t="s">
        <v>2090</v>
      </c>
      <c r="D19" s="15" t="s">
        <v>2017</v>
      </c>
      <c r="E19" s="15" t="s">
        <v>2017</v>
      </c>
      <c r="F19" s="15" t="s">
        <v>2017</v>
      </c>
      <c r="G19" s="15" t="s">
        <v>2091</v>
      </c>
      <c r="H19" s="15" t="s">
        <v>154</v>
      </c>
      <c r="I19" s="15" t="s">
        <v>154</v>
      </c>
      <c r="J19" s="18" t="s">
        <v>2017</v>
      </c>
    </row>
    <row r="20" customFormat="false" ht="35.05" hidden="false" customHeight="false" outlineLevel="0" collapsed="false">
      <c r="A20" s="10" t="s">
        <v>2092</v>
      </c>
      <c r="B20" s="15" t="s">
        <v>2093</v>
      </c>
      <c r="C20" s="15" t="s">
        <v>2094</v>
      </c>
      <c r="D20" s="15" t="s">
        <v>2017</v>
      </c>
      <c r="E20" s="15" t="s">
        <v>2017</v>
      </c>
      <c r="F20" s="15" t="s">
        <v>2017</v>
      </c>
      <c r="G20" s="15" t="s">
        <v>2095</v>
      </c>
      <c r="H20" s="15" t="s">
        <v>2096</v>
      </c>
      <c r="I20" s="15" t="s">
        <v>154</v>
      </c>
      <c r="J20" s="18" t="s">
        <v>2017</v>
      </c>
    </row>
    <row r="21" customFormat="false" ht="23.85" hidden="false" customHeight="false" outlineLevel="0" collapsed="false">
      <c r="A21" s="10" t="s">
        <v>2097</v>
      </c>
      <c r="B21" s="15" t="s">
        <v>2098</v>
      </c>
      <c r="C21" s="15" t="s">
        <v>2099</v>
      </c>
      <c r="D21" s="15" t="s">
        <v>2017</v>
      </c>
      <c r="E21" s="15" t="s">
        <v>2017</v>
      </c>
      <c r="F21" s="15" t="s">
        <v>2017</v>
      </c>
      <c r="G21" s="15" t="s">
        <v>305</v>
      </c>
      <c r="H21" s="15" t="s">
        <v>154</v>
      </c>
      <c r="I21" s="15" t="s">
        <v>154</v>
      </c>
      <c r="J21" s="18" t="s">
        <v>2017</v>
      </c>
    </row>
    <row r="22" customFormat="false" ht="35.05" hidden="false" customHeight="false" outlineLevel="0" collapsed="false">
      <c r="A22" s="10" t="s">
        <v>2100</v>
      </c>
      <c r="B22" s="15" t="s">
        <v>2101</v>
      </c>
      <c r="C22" s="15" t="s">
        <v>2102</v>
      </c>
      <c r="D22" s="15" t="s">
        <v>2017</v>
      </c>
      <c r="E22" s="15" t="s">
        <v>2017</v>
      </c>
      <c r="F22" s="15" t="s">
        <v>2017</v>
      </c>
      <c r="G22" s="15" t="s">
        <v>2103</v>
      </c>
      <c r="H22" s="15" t="s">
        <v>154</v>
      </c>
      <c r="I22" s="15" t="s">
        <v>154</v>
      </c>
      <c r="J22" s="18" t="s">
        <v>2017</v>
      </c>
    </row>
  </sheetData>
  <autoFilter ref="A5:J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42"/>
    <col collapsed="false" customWidth="true" hidden="false" outlineLevel="0" max="4" min="4" style="0" width="46"/>
    <col collapsed="false" customWidth="true" hidden="false" outlineLevel="0" max="5" min="5" style="0" width="42"/>
    <col collapsed="false" customWidth="true" hidden="false" outlineLevel="0" max="7" min="6" style="0" width="38"/>
    <col collapsed="false" customWidth="true" hidden="false" outlineLevel="0" max="8" min="8" style="0" width="48"/>
    <col collapsed="false" customWidth="true" hidden="false" outlineLevel="0" max="9" min="9" style="0" width="54"/>
    <col collapsed="false" customWidth="true" hidden="false" outlineLevel="0" max="10" min="10" style="0" width="18"/>
    <col collapsed="false" customWidth="true" hidden="false" outlineLevel="0" max="11" min="11" style="0" width="34"/>
    <col collapsed="false" customWidth="true" hidden="false" outlineLevel="0" max="13" min="12" style="0" width="30"/>
    <col collapsed="false" customWidth="true" hidden="false" outlineLevel="0" max="14" min="14" style="0" width="40"/>
  </cols>
  <sheetData>
    <row r="2" customFormat="false" ht="19.7" hidden="false" customHeight="false" outlineLevel="0" collapsed="false">
      <c r="A2" s="1" t="s">
        <v>2104</v>
      </c>
    </row>
    <row r="3" customFormat="false" ht="15" hidden="false" customHeight="false" outlineLevel="0" collapsed="false">
      <c r="A3" s="2" t="s">
        <v>2105</v>
      </c>
    </row>
    <row r="5" customFormat="false" ht="31.5" hidden="false" customHeight="true" outlineLevel="0" collapsed="false">
      <c r="A5" s="9" t="s">
        <v>79</v>
      </c>
      <c r="B5" s="9" t="s">
        <v>924</v>
      </c>
      <c r="C5" s="9" t="s">
        <v>2106</v>
      </c>
      <c r="D5" s="9" t="s">
        <v>2107</v>
      </c>
      <c r="E5" s="9" t="s">
        <v>2108</v>
      </c>
      <c r="F5" s="9" t="s">
        <v>2109</v>
      </c>
      <c r="G5" s="9" t="s">
        <v>2110</v>
      </c>
      <c r="H5" s="9" t="s">
        <v>2111</v>
      </c>
      <c r="I5" s="9" t="s">
        <v>2001</v>
      </c>
      <c r="J5" s="9" t="s">
        <v>2112</v>
      </c>
      <c r="K5" s="9" t="s">
        <v>2113</v>
      </c>
      <c r="L5" s="9" t="s">
        <v>2114</v>
      </c>
      <c r="M5" s="9" t="s">
        <v>2115</v>
      </c>
      <c r="N5" s="9" t="s">
        <v>2116</v>
      </c>
    </row>
    <row r="6" customFormat="false" ht="35.05" hidden="false" customHeight="false" outlineLevel="0" collapsed="false">
      <c r="A6" s="15" t="s">
        <v>2117</v>
      </c>
      <c r="B6" s="18" t="s">
        <v>2118</v>
      </c>
      <c r="C6" s="15" t="s">
        <v>2119</v>
      </c>
      <c r="D6" s="15" t="s">
        <v>2120</v>
      </c>
      <c r="E6" s="15" t="s">
        <v>919</v>
      </c>
      <c r="F6" s="15" t="s">
        <v>2121</v>
      </c>
      <c r="G6" s="15" t="s">
        <v>2122</v>
      </c>
      <c r="H6" s="15" t="s">
        <v>2123</v>
      </c>
      <c r="I6" s="15" t="s">
        <v>2124</v>
      </c>
      <c r="J6" s="28" t="s">
        <v>154</v>
      </c>
      <c r="K6" s="28" t="s">
        <v>2125</v>
      </c>
      <c r="L6" s="28" t="s">
        <v>154</v>
      </c>
      <c r="M6" s="28" t="s">
        <v>1598</v>
      </c>
      <c r="N6" s="28" t="s">
        <v>2126</v>
      </c>
    </row>
    <row r="7" customFormat="false" ht="46.25" hidden="false" customHeight="false" outlineLevel="0" collapsed="false">
      <c r="A7" s="15" t="s">
        <v>2127</v>
      </c>
      <c r="B7" s="18" t="s">
        <v>2128</v>
      </c>
      <c r="C7" s="15" t="s">
        <v>2129</v>
      </c>
      <c r="D7" s="15" t="s">
        <v>2130</v>
      </c>
      <c r="E7" s="15" t="s">
        <v>2131</v>
      </c>
      <c r="F7" s="15" t="s">
        <v>2132</v>
      </c>
      <c r="G7" s="15" t="s">
        <v>2133</v>
      </c>
      <c r="H7" s="15" t="s">
        <v>2134</v>
      </c>
      <c r="I7" s="15" t="s">
        <v>2135</v>
      </c>
      <c r="J7" s="28" t="s">
        <v>2136</v>
      </c>
      <c r="K7" s="28" t="s">
        <v>2137</v>
      </c>
      <c r="L7" s="28" t="s">
        <v>154</v>
      </c>
      <c r="M7" s="28" t="s">
        <v>2138</v>
      </c>
      <c r="N7" s="28" t="s">
        <v>2139</v>
      </c>
    </row>
    <row r="8" customFormat="false" ht="35.05" hidden="false" customHeight="false" outlineLevel="0" collapsed="false">
      <c r="A8" s="15" t="s">
        <v>2140</v>
      </c>
      <c r="B8" s="18" t="s">
        <v>2141</v>
      </c>
      <c r="C8" s="15" t="s">
        <v>2142</v>
      </c>
      <c r="D8" s="15" t="s">
        <v>2143</v>
      </c>
      <c r="E8" s="15" t="s">
        <v>2144</v>
      </c>
      <c r="F8" s="15" t="s">
        <v>2145</v>
      </c>
      <c r="G8" s="15" t="s">
        <v>113</v>
      </c>
      <c r="H8" s="15" t="s">
        <v>2146</v>
      </c>
      <c r="I8" s="15" t="s">
        <v>2135</v>
      </c>
      <c r="J8" s="28" t="s">
        <v>154</v>
      </c>
      <c r="K8" s="28" t="s">
        <v>2147</v>
      </c>
      <c r="L8" s="28" t="s">
        <v>154</v>
      </c>
      <c r="M8" s="28" t="s">
        <v>2148</v>
      </c>
      <c r="N8" s="28" t="s">
        <v>154</v>
      </c>
    </row>
    <row r="9" customFormat="false" ht="35.05" hidden="false" customHeight="false" outlineLevel="0" collapsed="false">
      <c r="A9" s="15" t="s">
        <v>2149</v>
      </c>
      <c r="B9" s="18" t="s">
        <v>2150</v>
      </c>
      <c r="C9" s="15" t="s">
        <v>2151</v>
      </c>
      <c r="D9" s="15" t="s">
        <v>2152</v>
      </c>
      <c r="E9" s="15" t="s">
        <v>2153</v>
      </c>
      <c r="F9" s="15" t="s">
        <v>2154</v>
      </c>
      <c r="G9" s="15" t="s">
        <v>113</v>
      </c>
      <c r="H9" s="15" t="s">
        <v>2155</v>
      </c>
      <c r="I9" s="15" t="s">
        <v>2156</v>
      </c>
      <c r="J9" s="28" t="s">
        <v>154</v>
      </c>
      <c r="K9" s="28" t="s">
        <v>154</v>
      </c>
      <c r="L9" s="28" t="s">
        <v>154</v>
      </c>
      <c r="M9" s="28" t="s">
        <v>154</v>
      </c>
      <c r="N9" s="28" t="s">
        <v>2157</v>
      </c>
    </row>
    <row r="10" customFormat="false" ht="23.85" hidden="false" customHeight="false" outlineLevel="0" collapsed="false">
      <c r="A10" s="15" t="s">
        <v>2158</v>
      </c>
      <c r="B10" s="18" t="s">
        <v>2159</v>
      </c>
      <c r="C10" s="15" t="s">
        <v>2160</v>
      </c>
      <c r="D10" s="15" t="s">
        <v>2161</v>
      </c>
      <c r="E10" s="15" t="s">
        <v>2162</v>
      </c>
      <c r="F10" s="15" t="s">
        <v>2163</v>
      </c>
      <c r="G10" s="15" t="s">
        <v>2164</v>
      </c>
      <c r="H10" s="15" t="s">
        <v>2165</v>
      </c>
      <c r="I10" s="15" t="s">
        <v>2156</v>
      </c>
      <c r="J10" s="28" t="s">
        <v>154</v>
      </c>
      <c r="K10" s="28" t="s">
        <v>154</v>
      </c>
      <c r="L10" s="28" t="s">
        <v>154</v>
      </c>
      <c r="M10" s="28" t="s">
        <v>154</v>
      </c>
      <c r="N10" s="28" t="s">
        <v>2166</v>
      </c>
    </row>
    <row r="11" customFormat="false" ht="46.25" hidden="false" customHeight="false" outlineLevel="0" collapsed="false">
      <c r="A11" s="15" t="s">
        <v>2167</v>
      </c>
      <c r="B11" s="18" t="s">
        <v>2168</v>
      </c>
      <c r="C11" s="15" t="s">
        <v>2169</v>
      </c>
      <c r="D11" s="15" t="s">
        <v>2170</v>
      </c>
      <c r="E11" s="15" t="s">
        <v>2171</v>
      </c>
      <c r="F11" s="15" t="s">
        <v>2172</v>
      </c>
      <c r="G11" s="15" t="s">
        <v>2173</v>
      </c>
      <c r="H11" s="15" t="s">
        <v>2174</v>
      </c>
      <c r="I11" s="15" t="s">
        <v>2175</v>
      </c>
      <c r="J11" s="28" t="s">
        <v>2176</v>
      </c>
      <c r="K11" s="28" t="s">
        <v>154</v>
      </c>
      <c r="L11" s="28" t="s">
        <v>154</v>
      </c>
      <c r="M11" s="28" t="s">
        <v>154</v>
      </c>
      <c r="N11" s="28" t="s">
        <v>2177</v>
      </c>
    </row>
    <row r="12" customFormat="false" ht="35.05" hidden="false" customHeight="false" outlineLevel="0" collapsed="false">
      <c r="A12" s="15" t="s">
        <v>2178</v>
      </c>
      <c r="B12" s="18" t="s">
        <v>2179</v>
      </c>
      <c r="C12" s="15" t="s">
        <v>2180</v>
      </c>
      <c r="D12" s="15" t="s">
        <v>2181</v>
      </c>
      <c r="E12" s="15" t="s">
        <v>2182</v>
      </c>
      <c r="F12" s="15" t="s">
        <v>2183</v>
      </c>
      <c r="G12" s="15" t="s">
        <v>644</v>
      </c>
      <c r="H12" s="15" t="s">
        <v>2184</v>
      </c>
      <c r="I12" s="15" t="s">
        <v>2185</v>
      </c>
      <c r="J12" s="28" t="s">
        <v>154</v>
      </c>
      <c r="K12" s="28" t="s">
        <v>2186</v>
      </c>
      <c r="L12" s="28" t="s">
        <v>154</v>
      </c>
      <c r="M12" s="28" t="s">
        <v>2187</v>
      </c>
      <c r="N12" s="28" t="s">
        <v>154</v>
      </c>
    </row>
    <row r="13" customFormat="false" ht="35.05" hidden="false" customHeight="false" outlineLevel="0" collapsed="false">
      <c r="A13" s="15" t="s">
        <v>2188</v>
      </c>
      <c r="B13" s="18" t="s">
        <v>2189</v>
      </c>
      <c r="C13" s="15" t="s">
        <v>2190</v>
      </c>
      <c r="D13" s="15" t="s">
        <v>2191</v>
      </c>
      <c r="E13" s="15" t="s">
        <v>2192</v>
      </c>
      <c r="F13" s="15" t="s">
        <v>2193</v>
      </c>
      <c r="G13" s="15" t="s">
        <v>2194</v>
      </c>
      <c r="H13" s="15" t="s">
        <v>2195</v>
      </c>
      <c r="I13" s="15" t="s">
        <v>2196</v>
      </c>
      <c r="J13" s="28" t="s">
        <v>2197</v>
      </c>
      <c r="K13" s="28" t="s">
        <v>154</v>
      </c>
      <c r="L13" s="28" t="s">
        <v>2198</v>
      </c>
      <c r="M13" s="28" t="s">
        <v>2199</v>
      </c>
      <c r="N13" s="28" t="s">
        <v>154</v>
      </c>
    </row>
    <row r="14" customFormat="false" ht="46.25" hidden="false" customHeight="false" outlineLevel="0" collapsed="false">
      <c r="A14" s="15" t="s">
        <v>2200</v>
      </c>
      <c r="B14" s="18" t="s">
        <v>2201</v>
      </c>
      <c r="C14" s="15" t="s">
        <v>2202</v>
      </c>
      <c r="D14" s="15" t="s">
        <v>2203</v>
      </c>
      <c r="E14" s="15" t="s">
        <v>2204</v>
      </c>
      <c r="F14" s="15" t="s">
        <v>2193</v>
      </c>
      <c r="G14" s="15" t="s">
        <v>2205</v>
      </c>
      <c r="H14" s="15" t="s">
        <v>2206</v>
      </c>
      <c r="I14" s="15" t="s">
        <v>2207</v>
      </c>
      <c r="J14" s="28" t="s">
        <v>154</v>
      </c>
      <c r="K14" s="28" t="s">
        <v>154</v>
      </c>
      <c r="L14" s="28" t="s">
        <v>154</v>
      </c>
      <c r="M14" s="28" t="s">
        <v>154</v>
      </c>
      <c r="N14" s="28" t="s">
        <v>2208</v>
      </c>
    </row>
    <row r="15" customFormat="false" ht="35.05" hidden="false" customHeight="false" outlineLevel="0" collapsed="false">
      <c r="A15" s="15" t="s">
        <v>2209</v>
      </c>
      <c r="B15" s="18" t="s">
        <v>2210</v>
      </c>
      <c r="C15" s="15" t="s">
        <v>2211</v>
      </c>
      <c r="D15" s="15" t="s">
        <v>2212</v>
      </c>
      <c r="E15" s="15" t="s">
        <v>2213</v>
      </c>
      <c r="F15" s="15" t="s">
        <v>2193</v>
      </c>
      <c r="G15" s="15" t="s">
        <v>2214</v>
      </c>
      <c r="H15" s="15" t="s">
        <v>2215</v>
      </c>
      <c r="I15" s="15" t="s">
        <v>2216</v>
      </c>
      <c r="J15" s="28" t="s">
        <v>2217</v>
      </c>
      <c r="K15" s="28" t="s">
        <v>154</v>
      </c>
      <c r="L15" s="28" t="s">
        <v>154</v>
      </c>
      <c r="M15" s="28" t="s">
        <v>154</v>
      </c>
      <c r="N15" s="28" t="s">
        <v>2218</v>
      </c>
    </row>
    <row r="16" customFormat="false" ht="23.85" hidden="false" customHeight="false" outlineLevel="0" collapsed="false">
      <c r="A16" s="15" t="s">
        <v>2219</v>
      </c>
      <c r="B16" s="18" t="s">
        <v>1675</v>
      </c>
      <c r="C16" s="15" t="s">
        <v>2220</v>
      </c>
      <c r="D16" s="15" t="s">
        <v>2221</v>
      </c>
      <c r="E16" s="15" t="s">
        <v>2222</v>
      </c>
      <c r="F16" s="15" t="s">
        <v>2223</v>
      </c>
      <c r="G16" s="15" t="s">
        <v>2224</v>
      </c>
      <c r="H16" s="15" t="s">
        <v>2225</v>
      </c>
      <c r="I16" s="15" t="s">
        <v>2226</v>
      </c>
      <c r="J16" s="28" t="s">
        <v>154</v>
      </c>
      <c r="K16" s="28" t="s">
        <v>154</v>
      </c>
      <c r="L16" s="28" t="s">
        <v>2227</v>
      </c>
      <c r="M16" s="28" t="s">
        <v>154</v>
      </c>
      <c r="N16" s="28" t="s">
        <v>2228</v>
      </c>
    </row>
    <row r="17" customFormat="false" ht="23.85" hidden="false" customHeight="false" outlineLevel="0" collapsed="false">
      <c r="A17" s="15" t="s">
        <v>2229</v>
      </c>
      <c r="B17" s="18" t="s">
        <v>2230</v>
      </c>
      <c r="C17" s="15" t="s">
        <v>2231</v>
      </c>
      <c r="D17" s="15" t="s">
        <v>2232</v>
      </c>
      <c r="E17" s="15" t="s">
        <v>2222</v>
      </c>
      <c r="F17" s="15" t="s">
        <v>2223</v>
      </c>
      <c r="G17" s="15" t="s">
        <v>2224</v>
      </c>
      <c r="H17" s="15" t="s">
        <v>2233</v>
      </c>
      <c r="I17" s="15" t="s">
        <v>2226</v>
      </c>
      <c r="J17" s="28" t="s">
        <v>154</v>
      </c>
      <c r="K17" s="28" t="s">
        <v>154</v>
      </c>
      <c r="L17" s="28" t="s">
        <v>2227</v>
      </c>
      <c r="M17" s="28" t="s">
        <v>154</v>
      </c>
      <c r="N17" s="28" t="s">
        <v>2228</v>
      </c>
    </row>
    <row r="18" customFormat="false" ht="35.05" hidden="false" customHeight="false" outlineLevel="0" collapsed="false">
      <c r="A18" s="15" t="s">
        <v>2234</v>
      </c>
      <c r="B18" s="18" t="s">
        <v>2235</v>
      </c>
      <c r="C18" s="15" t="s">
        <v>2236</v>
      </c>
      <c r="D18" s="15" t="s">
        <v>2237</v>
      </c>
      <c r="E18" s="15" t="s">
        <v>2238</v>
      </c>
      <c r="F18" s="15" t="s">
        <v>2163</v>
      </c>
      <c r="G18" s="15" t="s">
        <v>2239</v>
      </c>
      <c r="H18" s="15" t="s">
        <v>2240</v>
      </c>
      <c r="I18" s="15" t="s">
        <v>2241</v>
      </c>
      <c r="J18" s="28" t="s">
        <v>154</v>
      </c>
      <c r="K18" s="28" t="s">
        <v>154</v>
      </c>
      <c r="L18" s="28" t="s">
        <v>2242</v>
      </c>
      <c r="M18" s="28" t="s">
        <v>2243</v>
      </c>
      <c r="N18" s="28" t="s">
        <v>2244</v>
      </c>
    </row>
    <row r="19" customFormat="false" ht="23.85" hidden="false" customHeight="false" outlineLevel="0" collapsed="false">
      <c r="A19" s="15" t="s">
        <v>2245</v>
      </c>
      <c r="B19" s="18" t="s">
        <v>2246</v>
      </c>
      <c r="C19" s="15" t="s">
        <v>2247</v>
      </c>
      <c r="D19" s="15" t="s">
        <v>2248</v>
      </c>
      <c r="E19" s="15" t="s">
        <v>2249</v>
      </c>
      <c r="F19" s="15" t="s">
        <v>2145</v>
      </c>
      <c r="G19" s="15" t="s">
        <v>2250</v>
      </c>
      <c r="H19" s="15" t="s">
        <v>2251</v>
      </c>
      <c r="I19" s="15" t="s">
        <v>2252</v>
      </c>
      <c r="J19" s="28" t="s">
        <v>154</v>
      </c>
      <c r="K19" s="28" t="s">
        <v>2253</v>
      </c>
      <c r="L19" s="28" t="s">
        <v>154</v>
      </c>
      <c r="M19" s="28" t="s">
        <v>2254</v>
      </c>
      <c r="N19" s="28" t="s">
        <v>154</v>
      </c>
    </row>
    <row r="20" customFormat="false" ht="23.85" hidden="false" customHeight="false" outlineLevel="0" collapsed="false">
      <c r="A20" s="15" t="s">
        <v>2255</v>
      </c>
      <c r="B20" s="18" t="s">
        <v>2256</v>
      </c>
      <c r="C20" s="15" t="s">
        <v>2257</v>
      </c>
      <c r="D20" s="15" t="s">
        <v>2258</v>
      </c>
      <c r="E20" s="15" t="s">
        <v>2259</v>
      </c>
      <c r="F20" s="15" t="s">
        <v>2163</v>
      </c>
      <c r="G20" s="15" t="s">
        <v>2260</v>
      </c>
      <c r="H20" s="15" t="s">
        <v>2261</v>
      </c>
      <c r="I20" s="15" t="s">
        <v>2262</v>
      </c>
      <c r="J20" s="28" t="s">
        <v>154</v>
      </c>
      <c r="K20" s="28" t="s">
        <v>154</v>
      </c>
      <c r="L20" s="28" t="s">
        <v>2263</v>
      </c>
      <c r="M20" s="28" t="s">
        <v>2264</v>
      </c>
      <c r="N20" s="28" t="s">
        <v>2265</v>
      </c>
    </row>
    <row r="21" customFormat="false" ht="23.85" hidden="false" customHeight="false" outlineLevel="0" collapsed="false">
      <c r="A21" s="15" t="s">
        <v>2266</v>
      </c>
      <c r="B21" s="18" t="s">
        <v>2267</v>
      </c>
      <c r="C21" s="15" t="s">
        <v>2268</v>
      </c>
      <c r="D21" s="15" t="s">
        <v>2269</v>
      </c>
      <c r="E21" s="15" t="s">
        <v>2270</v>
      </c>
      <c r="F21" s="15" t="s">
        <v>2193</v>
      </c>
      <c r="G21" s="15" t="s">
        <v>849</v>
      </c>
      <c r="H21" s="15" t="s">
        <v>2271</v>
      </c>
      <c r="I21" s="15" t="s">
        <v>2272</v>
      </c>
      <c r="J21" s="28" t="s">
        <v>154</v>
      </c>
      <c r="K21" s="28" t="s">
        <v>154</v>
      </c>
      <c r="L21" s="28" t="s">
        <v>154</v>
      </c>
      <c r="M21" s="28" t="s">
        <v>154</v>
      </c>
      <c r="N21" s="28" t="s">
        <v>2273</v>
      </c>
    </row>
    <row r="22" customFormat="false" ht="35.05" hidden="false" customHeight="false" outlineLevel="0" collapsed="false">
      <c r="A22" s="15" t="s">
        <v>2274</v>
      </c>
      <c r="B22" s="18" t="s">
        <v>2275</v>
      </c>
      <c r="C22" s="15" t="s">
        <v>2276</v>
      </c>
      <c r="D22" s="15" t="s">
        <v>2277</v>
      </c>
      <c r="E22" s="15" t="s">
        <v>2278</v>
      </c>
      <c r="F22" s="15" t="s">
        <v>2193</v>
      </c>
      <c r="G22" s="15" t="s">
        <v>2279</v>
      </c>
      <c r="H22" s="15" t="s">
        <v>2280</v>
      </c>
      <c r="I22" s="15" t="s">
        <v>2281</v>
      </c>
      <c r="J22" s="28" t="s">
        <v>154</v>
      </c>
      <c r="K22" s="28" t="s">
        <v>154</v>
      </c>
      <c r="L22" s="28" t="s">
        <v>154</v>
      </c>
      <c r="M22" s="28" t="s">
        <v>2282</v>
      </c>
      <c r="N22" s="28" t="s">
        <v>2283</v>
      </c>
    </row>
    <row r="23" customFormat="false" ht="23.85" hidden="false" customHeight="false" outlineLevel="0" collapsed="false">
      <c r="A23" s="15" t="s">
        <v>2284</v>
      </c>
      <c r="B23" s="18" t="s">
        <v>2285</v>
      </c>
      <c r="C23" s="15" t="s">
        <v>2286</v>
      </c>
      <c r="D23" s="15" t="s">
        <v>2287</v>
      </c>
      <c r="E23" s="15" t="s">
        <v>2288</v>
      </c>
      <c r="F23" s="15" t="s">
        <v>2289</v>
      </c>
      <c r="G23" s="15" t="s">
        <v>228</v>
      </c>
      <c r="H23" s="15" t="s">
        <v>2290</v>
      </c>
      <c r="I23" s="15" t="s">
        <v>2281</v>
      </c>
      <c r="J23" s="28" t="s">
        <v>154</v>
      </c>
      <c r="K23" s="28" t="s">
        <v>154</v>
      </c>
      <c r="L23" s="28" t="s">
        <v>2291</v>
      </c>
      <c r="M23" s="28" t="s">
        <v>2292</v>
      </c>
      <c r="N23" s="28" t="s">
        <v>154</v>
      </c>
    </row>
    <row r="24" customFormat="false" ht="23.85" hidden="false" customHeight="false" outlineLevel="0" collapsed="false">
      <c r="A24" s="15" t="s">
        <v>2293</v>
      </c>
      <c r="B24" s="18" t="s">
        <v>2294</v>
      </c>
      <c r="C24" s="15" t="s">
        <v>2295</v>
      </c>
      <c r="D24" s="15" t="s">
        <v>2296</v>
      </c>
      <c r="E24" s="15" t="s">
        <v>2297</v>
      </c>
      <c r="F24" s="15" t="s">
        <v>2193</v>
      </c>
      <c r="G24" s="15" t="s">
        <v>2298</v>
      </c>
      <c r="H24" s="15" t="s">
        <v>2299</v>
      </c>
      <c r="I24" s="15" t="s">
        <v>2300</v>
      </c>
      <c r="J24" s="28" t="s">
        <v>154</v>
      </c>
      <c r="K24" s="28" t="s">
        <v>154</v>
      </c>
      <c r="L24" s="28" t="s">
        <v>154</v>
      </c>
      <c r="M24" s="28" t="s">
        <v>2301</v>
      </c>
      <c r="N24" s="28" t="s">
        <v>2302</v>
      </c>
    </row>
    <row r="25" customFormat="false" ht="35.05" hidden="false" customHeight="false" outlineLevel="0" collapsed="false">
      <c r="A25" s="15" t="s">
        <v>2303</v>
      </c>
      <c r="B25" s="18" t="s">
        <v>2304</v>
      </c>
      <c r="C25" s="15" t="s">
        <v>2305</v>
      </c>
      <c r="D25" s="15" t="s">
        <v>874</v>
      </c>
      <c r="E25" s="15" t="s">
        <v>2306</v>
      </c>
      <c r="F25" s="15" t="s">
        <v>2307</v>
      </c>
      <c r="G25" s="15" t="s">
        <v>877</v>
      </c>
      <c r="H25" s="15" t="s">
        <v>2308</v>
      </c>
      <c r="I25" s="15" t="s">
        <v>2309</v>
      </c>
      <c r="J25" s="28" t="s">
        <v>2310</v>
      </c>
      <c r="K25" s="28" t="s">
        <v>154</v>
      </c>
      <c r="L25" s="28" t="s">
        <v>154</v>
      </c>
      <c r="M25" s="28" t="s">
        <v>154</v>
      </c>
      <c r="N25" s="28" t="s">
        <v>2311</v>
      </c>
    </row>
    <row r="26" customFormat="false" ht="57.45" hidden="false" customHeight="false" outlineLevel="0" collapsed="false">
      <c r="A26" s="15" t="s">
        <v>2312</v>
      </c>
      <c r="B26" s="18" t="s">
        <v>2313</v>
      </c>
      <c r="C26" s="15" t="s">
        <v>2314</v>
      </c>
      <c r="D26" s="15" t="s">
        <v>2315</v>
      </c>
      <c r="E26" s="15" t="s">
        <v>2316</v>
      </c>
      <c r="F26" s="15" t="s">
        <v>2307</v>
      </c>
      <c r="G26" s="15" t="s">
        <v>877</v>
      </c>
      <c r="H26" s="15" t="s">
        <v>889</v>
      </c>
      <c r="I26" s="15" t="s">
        <v>2317</v>
      </c>
      <c r="J26" s="28" t="s">
        <v>2310</v>
      </c>
      <c r="K26" s="28" t="s">
        <v>154</v>
      </c>
      <c r="L26" s="28" t="s">
        <v>154</v>
      </c>
      <c r="M26" s="28" t="s">
        <v>154</v>
      </c>
      <c r="N26" s="28" t="s">
        <v>154</v>
      </c>
    </row>
  </sheetData>
  <autoFilter ref="A5:N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40"/>
    <col collapsed="false" customWidth="true" hidden="false" outlineLevel="0" max="4" min="4" style="0" width="72"/>
  </cols>
  <sheetData>
    <row r="2" customFormat="false" ht="19.7" hidden="false" customHeight="false" outlineLevel="0" collapsed="false">
      <c r="A2" s="1" t="s">
        <v>2318</v>
      </c>
    </row>
    <row r="3" customFormat="false" ht="15" hidden="false" customHeight="false" outlineLevel="0" collapsed="false">
      <c r="A3" s="2" t="s">
        <v>2319</v>
      </c>
    </row>
    <row r="5" customFormat="false" ht="31.5" hidden="false" customHeight="true" outlineLevel="0" collapsed="false">
      <c r="A5" s="9" t="s">
        <v>2320</v>
      </c>
      <c r="B5" s="9" t="s">
        <v>1906</v>
      </c>
      <c r="C5" s="9" t="s">
        <v>2321</v>
      </c>
      <c r="D5" s="9" t="s">
        <v>2322</v>
      </c>
    </row>
    <row r="6" customFormat="false" ht="15" hidden="false" customHeight="false" outlineLevel="0" collapsed="false">
      <c r="A6" s="21" t="s">
        <v>35</v>
      </c>
      <c r="B6" s="30" t="s">
        <v>2323</v>
      </c>
      <c r="C6" s="21" t="s">
        <v>41</v>
      </c>
      <c r="D6" s="21"/>
    </row>
    <row r="7" customFormat="false" ht="15" hidden="false" customHeight="false" outlineLevel="0" collapsed="false">
      <c r="A7" s="21" t="s">
        <v>35</v>
      </c>
      <c r="B7" s="30" t="s">
        <v>2324</v>
      </c>
      <c r="C7" s="21" t="s">
        <v>42</v>
      </c>
      <c r="D7" s="21"/>
    </row>
    <row r="8" customFormat="false" ht="15" hidden="false" customHeight="false" outlineLevel="0" collapsed="false">
      <c r="A8" s="21" t="s">
        <v>35</v>
      </c>
      <c r="B8" s="30" t="s">
        <v>2325</v>
      </c>
      <c r="C8" s="21" t="s">
        <v>43</v>
      </c>
      <c r="D8" s="21"/>
    </row>
    <row r="9" customFormat="false" ht="15" hidden="false" customHeight="false" outlineLevel="0" collapsed="false">
      <c r="A9" s="21" t="s">
        <v>35</v>
      </c>
      <c r="B9" s="30" t="s">
        <v>2326</v>
      </c>
      <c r="C9" s="21" t="s">
        <v>44</v>
      </c>
      <c r="D9" s="21"/>
    </row>
    <row r="10" customFormat="false" ht="15" hidden="false" customHeight="false" outlineLevel="0" collapsed="false">
      <c r="A10" s="21" t="s">
        <v>35</v>
      </c>
      <c r="B10" s="30" t="s">
        <v>2327</v>
      </c>
      <c r="C10" s="21" t="s">
        <v>45</v>
      </c>
      <c r="D10" s="21" t="s">
        <v>2328</v>
      </c>
    </row>
    <row r="11" customFormat="false" ht="15" hidden="false" customHeight="false" outlineLevel="0" collapsed="false">
      <c r="A11" s="21" t="s">
        <v>35</v>
      </c>
      <c r="B11" s="30" t="s">
        <v>2329</v>
      </c>
      <c r="C11" s="21" t="s">
        <v>46</v>
      </c>
      <c r="D11" s="21"/>
    </row>
    <row r="12" customFormat="false" ht="15" hidden="false" customHeight="false" outlineLevel="0" collapsed="false">
      <c r="A12" s="21" t="s">
        <v>35</v>
      </c>
      <c r="B12" s="30" t="s">
        <v>2330</v>
      </c>
      <c r="C12" s="21" t="s">
        <v>47</v>
      </c>
      <c r="D12" s="21"/>
    </row>
    <row r="13" customFormat="false" ht="15" hidden="false" customHeight="false" outlineLevel="0" collapsed="false">
      <c r="A13" s="21" t="s">
        <v>35</v>
      </c>
      <c r="B13" s="30" t="s">
        <v>2331</v>
      </c>
      <c r="C13" s="21" t="s">
        <v>48</v>
      </c>
      <c r="D13" s="21"/>
    </row>
    <row r="14" customFormat="false" ht="15" hidden="false" customHeight="false" outlineLevel="0" collapsed="false">
      <c r="A14" s="21" t="s">
        <v>35</v>
      </c>
      <c r="B14" s="30" t="s">
        <v>2332</v>
      </c>
      <c r="C14" s="21" t="s">
        <v>49</v>
      </c>
      <c r="D14" s="21" t="s">
        <v>2333</v>
      </c>
    </row>
    <row r="15" customFormat="false" ht="15" hidden="false" customHeight="false" outlineLevel="0" collapsed="false">
      <c r="A15" s="21" t="s">
        <v>35</v>
      </c>
      <c r="B15" s="30" t="s">
        <v>2334</v>
      </c>
      <c r="C15" s="21" t="s">
        <v>50</v>
      </c>
      <c r="D15" s="21" t="s">
        <v>2328</v>
      </c>
    </row>
    <row r="16" customFormat="false" ht="15" hidden="false" customHeight="false" outlineLevel="0" collapsed="false">
      <c r="A16" s="15" t="s">
        <v>2335</v>
      </c>
      <c r="B16" s="10" t="s">
        <v>2336</v>
      </c>
      <c r="C16" s="15" t="s">
        <v>2337</v>
      </c>
      <c r="D16" s="15" t="s">
        <v>2338</v>
      </c>
    </row>
    <row r="17" customFormat="false" ht="15" hidden="false" customHeight="false" outlineLevel="0" collapsed="false">
      <c r="A17" s="15" t="s">
        <v>2335</v>
      </c>
      <c r="B17" s="10" t="s">
        <v>2339</v>
      </c>
      <c r="C17" s="15" t="s">
        <v>2340</v>
      </c>
      <c r="D17" s="15" t="s">
        <v>2341</v>
      </c>
    </row>
    <row r="18" customFormat="false" ht="15" hidden="false" customHeight="false" outlineLevel="0" collapsed="false">
      <c r="A18" s="15" t="s">
        <v>2335</v>
      </c>
      <c r="B18" s="10" t="s">
        <v>2342</v>
      </c>
      <c r="C18" s="15" t="s">
        <v>2343</v>
      </c>
      <c r="D18" s="15" t="s">
        <v>2344</v>
      </c>
    </row>
    <row r="19" customFormat="false" ht="15" hidden="false" customHeight="false" outlineLevel="0" collapsed="false">
      <c r="A19" s="15" t="s">
        <v>2345</v>
      </c>
      <c r="B19" s="10" t="s">
        <v>2346</v>
      </c>
      <c r="C19" s="15" t="s">
        <v>2347</v>
      </c>
      <c r="D19" s="15" t="s">
        <v>2348</v>
      </c>
    </row>
    <row r="20" customFormat="false" ht="15" hidden="false" customHeight="false" outlineLevel="0" collapsed="false">
      <c r="A20" s="15" t="s">
        <v>2345</v>
      </c>
      <c r="B20" s="10" t="s">
        <v>2349</v>
      </c>
      <c r="C20" s="15" t="s">
        <v>2350</v>
      </c>
      <c r="D20" s="15" t="s">
        <v>2351</v>
      </c>
    </row>
    <row r="21" customFormat="false" ht="15" hidden="false" customHeight="false" outlineLevel="0" collapsed="false">
      <c r="A21" s="15" t="s">
        <v>2345</v>
      </c>
      <c r="B21" s="10" t="s">
        <v>2352</v>
      </c>
      <c r="C21" s="15" t="s">
        <v>2353</v>
      </c>
      <c r="D21" s="15" t="s">
        <v>2354</v>
      </c>
    </row>
    <row r="22" customFormat="false" ht="15" hidden="false" customHeight="false" outlineLevel="0" collapsed="false">
      <c r="A22" s="15" t="s">
        <v>2345</v>
      </c>
      <c r="B22" s="10" t="s">
        <v>2355</v>
      </c>
      <c r="C22" s="15" t="s">
        <v>2356</v>
      </c>
      <c r="D22" s="15" t="s">
        <v>2357</v>
      </c>
    </row>
    <row r="23" customFormat="false" ht="15" hidden="false" customHeight="false" outlineLevel="0" collapsed="false">
      <c r="A23" s="15" t="s">
        <v>2358</v>
      </c>
      <c r="B23" s="10" t="s">
        <v>2359</v>
      </c>
      <c r="C23" s="15" t="s">
        <v>2360</v>
      </c>
      <c r="D23" s="15"/>
    </row>
    <row r="24" customFormat="false" ht="15" hidden="false" customHeight="false" outlineLevel="0" collapsed="false">
      <c r="A24" s="15" t="s">
        <v>2358</v>
      </c>
      <c r="B24" s="10" t="s">
        <v>2361</v>
      </c>
      <c r="C24" s="15" t="s">
        <v>2362</v>
      </c>
      <c r="D24" s="15"/>
    </row>
    <row r="25" customFormat="false" ht="15" hidden="false" customHeight="false" outlineLevel="0" collapsed="false">
      <c r="A25" s="15" t="s">
        <v>2358</v>
      </c>
      <c r="B25" s="10" t="s">
        <v>2363</v>
      </c>
      <c r="C25" s="15" t="s">
        <v>2364</v>
      </c>
      <c r="D25" s="15" t="s">
        <v>2365</v>
      </c>
    </row>
    <row r="26" customFormat="false" ht="15" hidden="false" customHeight="false" outlineLevel="0" collapsed="false">
      <c r="A26" s="15" t="s">
        <v>2358</v>
      </c>
      <c r="B26" s="10" t="s">
        <v>2366</v>
      </c>
      <c r="C26" s="15" t="s">
        <v>2367</v>
      </c>
      <c r="D26" s="15" t="s">
        <v>2368</v>
      </c>
    </row>
    <row r="27" customFormat="false" ht="15" hidden="false" customHeight="false" outlineLevel="0" collapsed="false">
      <c r="A27" s="15" t="s">
        <v>2358</v>
      </c>
      <c r="B27" s="10" t="s">
        <v>2369</v>
      </c>
      <c r="C27" s="15" t="s">
        <v>2370</v>
      </c>
      <c r="D27" s="15" t="s">
        <v>2371</v>
      </c>
    </row>
    <row r="28" customFormat="false" ht="15" hidden="false" customHeight="false" outlineLevel="0" collapsed="false">
      <c r="A28" s="15" t="s">
        <v>2358</v>
      </c>
      <c r="B28" s="10" t="s">
        <v>2372</v>
      </c>
      <c r="C28" s="15" t="s">
        <v>2373</v>
      </c>
      <c r="D28" s="15" t="s">
        <v>2374</v>
      </c>
    </row>
    <row r="29" customFormat="false" ht="15" hidden="false" customHeight="false" outlineLevel="0" collapsed="false">
      <c r="A29" s="15" t="s">
        <v>53</v>
      </c>
      <c r="B29" s="10" t="s">
        <v>2375</v>
      </c>
      <c r="C29" s="15" t="s">
        <v>56</v>
      </c>
      <c r="D29" s="15" t="s">
        <v>2376</v>
      </c>
    </row>
    <row r="30" customFormat="false" ht="15" hidden="false" customHeight="false" outlineLevel="0" collapsed="false">
      <c r="A30" s="15" t="s">
        <v>53</v>
      </c>
      <c r="B30" s="10" t="s">
        <v>2377</v>
      </c>
      <c r="C30" s="15" t="s">
        <v>58</v>
      </c>
      <c r="D30" s="15" t="s">
        <v>2378</v>
      </c>
    </row>
    <row r="31" customFormat="false" ht="15" hidden="false" customHeight="false" outlineLevel="0" collapsed="false">
      <c r="A31" s="15" t="s">
        <v>53</v>
      </c>
      <c r="B31" s="10" t="s">
        <v>2379</v>
      </c>
      <c r="C31" s="15" t="s">
        <v>60</v>
      </c>
      <c r="D31" s="15" t="s">
        <v>2380</v>
      </c>
    </row>
    <row r="32" customFormat="false" ht="15" hidden="false" customHeight="false" outlineLevel="0" collapsed="false">
      <c r="A32" s="15" t="s">
        <v>2381</v>
      </c>
      <c r="B32" s="10" t="s">
        <v>2382</v>
      </c>
      <c r="C32" s="15" t="s">
        <v>113</v>
      </c>
      <c r="D32" s="15" t="s">
        <v>2383</v>
      </c>
    </row>
    <row r="33" customFormat="false" ht="15" hidden="false" customHeight="false" outlineLevel="0" collapsed="false">
      <c r="A33" s="15" t="s">
        <v>2381</v>
      </c>
      <c r="B33" s="10" t="s">
        <v>2384</v>
      </c>
      <c r="C33" s="15" t="s">
        <v>150</v>
      </c>
      <c r="D33" s="15" t="s">
        <v>2385</v>
      </c>
    </row>
    <row r="34" customFormat="false" ht="15" hidden="false" customHeight="false" outlineLevel="0" collapsed="false">
      <c r="A34" s="15" t="s">
        <v>2381</v>
      </c>
      <c r="B34" s="10" t="s">
        <v>2386</v>
      </c>
      <c r="C34" s="15" t="s">
        <v>2387</v>
      </c>
      <c r="D34" s="15" t="s">
        <v>2388</v>
      </c>
    </row>
    <row r="35" customFormat="false" ht="15" hidden="false" customHeight="false" outlineLevel="0" collapsed="false">
      <c r="A35" s="15" t="s">
        <v>2381</v>
      </c>
      <c r="B35" s="10" t="s">
        <v>2389</v>
      </c>
      <c r="C35" s="15" t="s">
        <v>2390</v>
      </c>
      <c r="D35" s="15" t="s">
        <v>2391</v>
      </c>
    </row>
    <row r="36" customFormat="false" ht="15" hidden="false" customHeight="false" outlineLevel="0" collapsed="false">
      <c r="A36" s="15" t="s">
        <v>2381</v>
      </c>
      <c r="B36" s="10" t="s">
        <v>2392</v>
      </c>
      <c r="C36" s="15" t="s">
        <v>2393</v>
      </c>
      <c r="D36" s="15" t="s">
        <v>2394</v>
      </c>
    </row>
    <row r="37" customFormat="false" ht="15" hidden="false" customHeight="false" outlineLevel="0" collapsed="false">
      <c r="A37" s="15" t="s">
        <v>2381</v>
      </c>
      <c r="B37" s="10" t="s">
        <v>2395</v>
      </c>
      <c r="C37" s="15" t="s">
        <v>583</v>
      </c>
      <c r="D37" s="15" t="s">
        <v>2396</v>
      </c>
    </row>
    <row r="38" customFormat="false" ht="15" hidden="false" customHeight="false" outlineLevel="0" collapsed="false">
      <c r="A38" s="15" t="s">
        <v>2381</v>
      </c>
      <c r="B38" s="10" t="s">
        <v>2397</v>
      </c>
      <c r="C38" s="15" t="s">
        <v>2398</v>
      </c>
      <c r="D38" s="15" t="s">
        <v>2399</v>
      </c>
    </row>
    <row r="39" customFormat="false" ht="15" hidden="false" customHeight="false" outlineLevel="0" collapsed="false">
      <c r="A39" s="15" t="s">
        <v>2400</v>
      </c>
      <c r="B39" s="10" t="s">
        <v>2401</v>
      </c>
      <c r="C39" s="15" t="s">
        <v>2402</v>
      </c>
      <c r="D39" s="15"/>
    </row>
    <row r="40" customFormat="false" ht="15" hidden="false" customHeight="false" outlineLevel="0" collapsed="false">
      <c r="A40" s="15" t="s">
        <v>2400</v>
      </c>
      <c r="B40" s="10" t="s">
        <v>2403</v>
      </c>
      <c r="C40" s="15" t="s">
        <v>2404</v>
      </c>
      <c r="D40" s="15" t="s">
        <v>2405</v>
      </c>
    </row>
    <row r="41" customFormat="false" ht="15" hidden="false" customHeight="false" outlineLevel="0" collapsed="false">
      <c r="A41" s="15" t="s">
        <v>2400</v>
      </c>
      <c r="B41" s="10" t="s">
        <v>2406</v>
      </c>
      <c r="C41" s="15" t="s">
        <v>2407</v>
      </c>
      <c r="D41" s="15" t="s">
        <v>2408</v>
      </c>
    </row>
    <row r="42" customFormat="false" ht="15" hidden="false" customHeight="false" outlineLevel="0" collapsed="false">
      <c r="A42" s="15" t="s">
        <v>2400</v>
      </c>
      <c r="B42" s="10" t="s">
        <v>2409</v>
      </c>
      <c r="C42" s="15" t="s">
        <v>2410</v>
      </c>
      <c r="D42" s="15" t="s">
        <v>2411</v>
      </c>
    </row>
    <row r="43" customFormat="false" ht="15" hidden="false" customHeight="false" outlineLevel="0" collapsed="false">
      <c r="A43" s="15" t="s">
        <v>2412</v>
      </c>
      <c r="B43" s="10" t="s">
        <v>2413</v>
      </c>
      <c r="C43" s="15" t="s">
        <v>72</v>
      </c>
      <c r="D43" s="15" t="s">
        <v>2414</v>
      </c>
    </row>
    <row r="44" customFormat="false" ht="15" hidden="false" customHeight="false" outlineLevel="0" collapsed="false">
      <c r="A44" s="15" t="s">
        <v>2412</v>
      </c>
      <c r="B44" s="10" t="s">
        <v>2415</v>
      </c>
      <c r="C44" s="15" t="s">
        <v>73</v>
      </c>
      <c r="D44" s="15" t="s">
        <v>2416</v>
      </c>
    </row>
    <row r="45" customFormat="false" ht="15" hidden="false" customHeight="false" outlineLevel="0" collapsed="false">
      <c r="A45" s="15" t="s">
        <v>2412</v>
      </c>
      <c r="B45" s="10" t="s">
        <v>2417</v>
      </c>
      <c r="C45" s="15" t="s">
        <v>74</v>
      </c>
      <c r="D45" s="15" t="s">
        <v>2418</v>
      </c>
    </row>
    <row r="46" customFormat="false" ht="15" hidden="false" customHeight="false" outlineLevel="0" collapsed="false">
      <c r="A46" s="15" t="s">
        <v>2412</v>
      </c>
      <c r="B46" s="10" t="s">
        <v>2419</v>
      </c>
      <c r="C46" s="15" t="s">
        <v>75</v>
      </c>
      <c r="D46" s="15" t="s">
        <v>2420</v>
      </c>
    </row>
    <row r="47" customFormat="false" ht="15" hidden="false" customHeight="false" outlineLevel="0" collapsed="false">
      <c r="A47" s="15" t="s">
        <v>2412</v>
      </c>
      <c r="B47" s="10" t="s">
        <v>2421</v>
      </c>
      <c r="C47" s="15" t="s">
        <v>76</v>
      </c>
      <c r="D47" s="15" t="s">
        <v>2422</v>
      </c>
    </row>
    <row r="48" customFormat="false" ht="15" hidden="false" customHeight="false" outlineLevel="0" collapsed="false">
      <c r="A48" s="15" t="s">
        <v>2423</v>
      </c>
      <c r="B48" s="10" t="s">
        <v>2424</v>
      </c>
      <c r="C48" s="15" t="s">
        <v>2425</v>
      </c>
      <c r="D48" s="15" t="s">
        <v>2426</v>
      </c>
    </row>
    <row r="49" customFormat="false" ht="15" hidden="false" customHeight="false" outlineLevel="0" collapsed="false">
      <c r="A49" s="15" t="s">
        <v>2423</v>
      </c>
      <c r="B49" s="10" t="s">
        <v>2427</v>
      </c>
      <c r="C49" s="15" t="s">
        <v>2072</v>
      </c>
      <c r="D49" s="15" t="s">
        <v>2428</v>
      </c>
    </row>
    <row r="50" customFormat="false" ht="15" hidden="false" customHeight="false" outlineLevel="0" collapsed="false">
      <c r="A50" s="15" t="s">
        <v>2423</v>
      </c>
      <c r="B50" s="10" t="s">
        <v>2429</v>
      </c>
      <c r="C50" s="15" t="s">
        <v>2430</v>
      </c>
      <c r="D50" s="15" t="s">
        <v>2431</v>
      </c>
    </row>
    <row r="51" customFormat="false" ht="15" hidden="false" customHeight="false" outlineLevel="0" collapsed="false">
      <c r="A51" s="15" t="s">
        <v>2432</v>
      </c>
      <c r="B51" s="10" t="s">
        <v>2433</v>
      </c>
      <c r="C51" s="15" t="s">
        <v>2434</v>
      </c>
      <c r="D51" s="15" t="s">
        <v>2435</v>
      </c>
    </row>
    <row r="52" customFormat="false" ht="15" hidden="false" customHeight="false" outlineLevel="0" collapsed="false">
      <c r="A52" s="15" t="s">
        <v>2432</v>
      </c>
      <c r="B52" s="10" t="s">
        <v>2436</v>
      </c>
      <c r="C52" s="15" t="s">
        <v>2437</v>
      </c>
      <c r="D52" s="15"/>
    </row>
    <row r="53" customFormat="false" ht="15" hidden="false" customHeight="false" outlineLevel="0" collapsed="false">
      <c r="A53" s="15" t="s">
        <v>2432</v>
      </c>
      <c r="B53" s="10" t="s">
        <v>2438</v>
      </c>
      <c r="C53" s="15" t="s">
        <v>2439</v>
      </c>
      <c r="D53" s="15" t="s">
        <v>2440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2026-09-28T07:41:40Z</dcterms:created>
  <dc:creator>openpyxl</dc:creator>
  <dc:description/>
  <dc:language>en-US</dc:language>
  <cp:lastModifiedBy/>
  <dcterms:modified xsi:type="dcterms:W3CDTF">2026-09-28T07:41:40Z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